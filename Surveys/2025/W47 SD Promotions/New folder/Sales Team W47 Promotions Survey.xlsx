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istizabal\Documents\Reports\Surveys\W47 SD Promotions\"/>
    </mc:Choice>
  </mc:AlternateContent>
  <xr:revisionPtr revIDLastSave="0" documentId="13_ncr:1_{84C2AA32-1A10-4EA8-9BBE-1BFAD3EC97F7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As of now" sheetId="13" r:id="rId1"/>
  </sheets>
  <definedNames>
    <definedName name="_xlnm._FilterDatabase" localSheetId="0" hidden="1">'As of now'!$A$1:$N$3</definedName>
  </definedName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" i="13" l="1"/>
  <c r="K10" i="13" s="1"/>
  <c r="G10" i="13"/>
  <c r="P3" i="13"/>
  <c r="J9" i="13"/>
  <c r="L9" i="13" s="1"/>
  <c r="G9" i="13"/>
  <c r="M9" i="13" s="1"/>
  <c r="N9" i="13" s="1"/>
  <c r="J8" i="13"/>
  <c r="L8" i="13" s="1"/>
  <c r="G8" i="13"/>
  <c r="M8" i="13" s="1"/>
  <c r="N8" i="13" s="1"/>
  <c r="J7" i="13"/>
  <c r="L7" i="13" s="1"/>
  <c r="G7" i="13"/>
  <c r="J6" i="13"/>
  <c r="K6" i="13" s="1"/>
  <c r="G6" i="13"/>
  <c r="J5" i="13"/>
  <c r="L5" i="13" s="1"/>
  <c r="G5" i="13"/>
  <c r="M5" i="13" s="1"/>
  <c r="N5" i="13" s="1"/>
  <c r="J4" i="13"/>
  <c r="L4" i="13" s="1"/>
  <c r="G4" i="13"/>
  <c r="G3" i="13"/>
  <c r="J3" i="13"/>
  <c r="K3" i="13" s="1"/>
  <c r="G2" i="13"/>
  <c r="J2" i="13"/>
  <c r="K2" i="13" s="1"/>
  <c r="L10" i="13" l="1"/>
  <c r="Q3" i="13" s="1"/>
  <c r="M4" i="13"/>
  <c r="N4" i="13" s="1"/>
  <c r="P2" i="13"/>
  <c r="M7" i="13"/>
  <c r="N7" i="13" s="1"/>
  <c r="K4" i="13"/>
  <c r="K8" i="13"/>
  <c r="L6" i="13"/>
  <c r="M6" i="13" s="1"/>
  <c r="N6" i="13" s="1"/>
  <c r="K5" i="13"/>
  <c r="K7" i="13"/>
  <c r="K9" i="13"/>
  <c r="L3" i="13"/>
  <c r="L2" i="13"/>
  <c r="M10" i="13" l="1"/>
  <c r="N10" i="13" s="1"/>
  <c r="Q2" i="13"/>
  <c r="M3" i="13"/>
  <c r="N3" i="13" s="1"/>
  <c r="S2" i="13"/>
  <c r="R2" i="13"/>
  <c r="M2" i="13"/>
  <c r="N2" i="13" s="1"/>
</calcChain>
</file>

<file path=xl/sharedStrings.xml><?xml version="1.0" encoding="utf-8"?>
<sst xmlns="http://schemas.openxmlformats.org/spreadsheetml/2006/main" count="51" uniqueCount="26">
  <si>
    <t>Condition Document No</t>
  </si>
  <si>
    <t>Condition Text</t>
  </si>
  <si>
    <t>Product</t>
  </si>
  <si>
    <t>Product Text</t>
  </si>
  <si>
    <t>Incentive</t>
  </si>
  <si>
    <t>AS-IS Qty</t>
  </si>
  <si>
    <t>AS-IS Amount</t>
  </si>
  <si>
    <t>Invoiced</t>
  </si>
  <si>
    <t>Shipping</t>
  </si>
  <si>
    <t>Total</t>
  </si>
  <si>
    <t>Difference</t>
  </si>
  <si>
    <t>Amount difference</t>
  </si>
  <si>
    <t>FINAL</t>
  </si>
  <si>
    <t>G-S25-ULTRA</t>
  </si>
  <si>
    <t>1060</t>
  </si>
  <si>
    <t>G-TAB-A9</t>
  </si>
  <si>
    <t>A0S3A0A250001113</t>
  </si>
  <si>
    <t>VITEL W45-W47 VE Sell Thru</t>
  </si>
  <si>
    <t>G-A06</t>
  </si>
  <si>
    <t>G-A07</t>
  </si>
  <si>
    <t>G-A16</t>
  </si>
  <si>
    <t>G-A16-5G</t>
  </si>
  <si>
    <t>G-A17</t>
  </si>
  <si>
    <t>G-S25</t>
  </si>
  <si>
    <t>G-S25+</t>
  </si>
  <si>
    <t>VITEL W45-W47 A16 MX Peak Season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</si>
</sst>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3" x14ac:knownFonts="1">
    <font>
      <sz val="10"/>
      <color theme="1"/>
      <name val="Calibri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9FFC3"/>
        <bgColor indexed="64"/>
      </patternFill>
    </fill>
    <fill>
      <patternFill patternType="solid">
        <fgColor rgb="FFFFFFE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7">
    <xf numFmtId="0" fontId="0" fillId="0" borderId="0" xfId="0"/>
    <xf numFmtId="0" fontId="1" fillId="2" borderId="1" xfId="0" applyFont="1" applyFill="1" applyBorder="1"/>
    <xf numFmtId="8" fontId="0" fillId="4" borderId="1" xfId="0" applyNumberFormat="1" applyFill="1" applyBorder="1"/>
    <xf numFmtId="1" fontId="0" fillId="3" borderId="1" xfId="0" applyNumberFormat="1" applyFill="1" applyBorder="1"/>
    <xf numFmtId="44" fontId="0" fillId="3" borderId="1" xfId="1" applyFont="1" applyFill="1" applyBorder="1"/>
    <xf numFmtId="0" fontId="1" fillId="2" borderId="2" xfId="0" applyFont="1" applyFill="1" applyBorder="1"/>
    <xf numFmtId="0" fontId="1" fillId="0" borderId="0" xfId="0" applyFont="1"/>
    <xf numFmtId="1" fontId="1" fillId="2" borderId="1" xfId="0" applyNumberFormat="1" applyFont="1" applyFill="1" applyBorder="1"/>
    <xf numFmtId="1" fontId="0" fillId="0" borderId="0" xfId="0" applyNumberFormat="1"/>
    <xf numFmtId="44" fontId="0" fillId="0" borderId="0" xfId="0" applyNumberFormat="1"/>
    <xf numFmtId="8" fontId="0" fillId="0" borderId="0" xfId="0" applyNumberFormat="1"/>
    <xf numFmtId="0" fontId="0" fillId="5" borderId="1" xfId="0" quotePrefix="1" applyFill="1" applyBorder="1"/>
    <xf numFmtId="8" fontId="0" fillId="5" borderId="0" xfId="0" applyNumberFormat="1" applyFill="1"/>
    <xf numFmtId="0" fontId="1" fillId="6" borderId="1" xfId="0" applyFont="1" applyFill="1" applyBorder="1"/>
    <xf numFmtId="0" fontId="0" fillId="0" borderId="1" xfId="0" applyBorder="1"/>
    <xf numFmtId="4" fontId="0" fillId="4" borderId="1" xfId="0" applyNumberFormat="1" applyFill="1" applyBorder="1"/>
    <xf numFmtId="0" fontId="2" fillId="5" borderId="1" xfId="0" quotePrefix="1" applyFont="1" applyFill="1" applyBorder="1"/>
  </cellXfs>
  <cellStyles count="2">
    <cellStyle name="Currency" xfId="1" builtinId="4"/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B3D37-9A6F-4650-B475-D01F00096AE9}">
  <dimension ref="A1:S10"/>
  <sheetViews>
    <sheetView showGridLines="0" tabSelected="1" zoomScaleNormal="100" workbookViewId="0">
      <pane ySplit="1" topLeftCell="A2" activePane="bottomLeft" state="frozen"/>
      <selection pane="bottomLeft" activeCell="L6" sqref="L6"/>
    </sheetView>
  </sheetViews>
  <sheetFormatPr defaultRowHeight="18" customHeight="1" x14ac:dyDescent="0.2"/>
  <cols>
    <col min="1" max="1" width="20.28515625" bestFit="1" customWidth="1"/>
    <col min="2" max="2" width="41.7109375" bestFit="1" customWidth="1"/>
    <col min="3" max="4" width="16.28515625" bestFit="1" customWidth="1"/>
    <col min="5" max="5" width="8.5703125" bestFit="1" customWidth="1"/>
    <col min="6" max="6" width="8.140625" style="8" bestFit="1" customWidth="1"/>
    <col min="7" max="7" width="11.7109375" bestFit="1" customWidth="1"/>
    <col min="8" max="8" width="7.85546875" style="8" bestFit="1" customWidth="1"/>
    <col min="9" max="9" width="7.85546875" bestFit="1" customWidth="1"/>
    <col min="10" max="10" width="5.140625" bestFit="1" customWidth="1"/>
    <col min="11" max="11" width="9.42578125" bestFit="1" customWidth="1"/>
    <col min="12" max="12" width="11.7109375" bestFit="1" customWidth="1"/>
    <col min="13" max="13" width="16.140625" bestFit="1" customWidth="1"/>
    <col min="14" max="14" width="11.42578125" style="6" bestFit="1" customWidth="1"/>
    <col min="16" max="16" width="11.7109375" bestFit="1" customWidth="1"/>
    <col min="17" max="17" width="12.28515625" bestFit="1" customWidth="1"/>
    <col min="18" max="19" width="11.42578125" bestFit="1" customWidth="1"/>
  </cols>
  <sheetData>
    <row r="1" spans="1:19" ht="1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7" t="s">
        <v>5</v>
      </c>
      <c r="G1" s="1" t="s">
        <v>6</v>
      </c>
      <c r="H1" s="7" t="s">
        <v>7</v>
      </c>
      <c r="I1" s="1" t="s">
        <v>8</v>
      </c>
      <c r="J1" s="1" t="s">
        <v>9</v>
      </c>
      <c r="K1" s="1" t="s">
        <v>10</v>
      </c>
      <c r="L1" s="1" t="s">
        <v>6</v>
      </c>
      <c r="M1" s="1" t="s">
        <v>11</v>
      </c>
      <c r="N1" s="5" t="s">
        <v>12</v>
      </c>
      <c r="R1" s="16" t="s">
        <v>14</v>
      </c>
      <c r="S1" s="11">
        <v>1070</v>
      </c>
    </row>
    <row r="2" spans="1:19" ht="18" customHeight="1" x14ac:dyDescent="0.2">
      <c r="A2" s="14" t="s">
        <v>16</v>
      </c>
      <c r="B2" s="14" t="s">
        <v>17</v>
      </c>
      <c r="C2" s="14" t="s">
        <v>18</v>
      </c>
      <c r="D2" s="14" t="s">
        <v>13</v>
      </c>
      <c r="E2" s="2">
        <v>10</v>
      </c>
      <c r="F2" s="15">
        <v>450</v>
      </c>
      <c r="G2" s="2">
        <f>E2*F2</f>
        <v>4500</v>
      </c>
      <c r="H2" s="3"/>
      <c r="I2" s="3"/>
      <c r="J2" s="3">
        <f t="shared" ref="J2:J3" si="0">H2+I2</f>
        <v>0</v>
      </c>
      <c r="K2" s="3">
        <f t="shared" ref="K2:K3" si="1">F2-J2</f>
        <v>450</v>
      </c>
      <c r="L2" s="4">
        <f t="shared" ref="L2:L3" si="2">J2*E2</f>
        <v>0</v>
      </c>
      <c r="M2" s="4">
        <f t="shared" ref="M2:M3" si="3">G2-L2</f>
        <v>4500</v>
      </c>
      <c r="N2" s="13" t="str">
        <f t="shared" ref="N2:N3" si="4">IF(M2&gt;0,"KEEP SELLING", "DO NOT SELL")</f>
        <v>KEEP SELLING</v>
      </c>
      <c r="P2" s="10">
        <f>SUM(G2:G9)</f>
        <v>243615</v>
      </c>
      <c r="Q2" s="9">
        <f>SUM(L2:L9)</f>
        <v>24400</v>
      </c>
      <c r="R2" s="12">
        <f>P2-Q2</f>
        <v>219215</v>
      </c>
      <c r="S2" s="12">
        <f>P3-Q3</f>
        <v>31620</v>
      </c>
    </row>
    <row r="3" spans="1:19" ht="18" customHeight="1" x14ac:dyDescent="0.2">
      <c r="A3" s="14" t="s">
        <v>16</v>
      </c>
      <c r="B3" s="14" t="s">
        <v>17</v>
      </c>
      <c r="C3" s="14" t="s">
        <v>19</v>
      </c>
      <c r="D3" s="14" t="s">
        <v>15</v>
      </c>
      <c r="E3" s="2">
        <v>10</v>
      </c>
      <c r="F3" s="15">
        <v>1820</v>
      </c>
      <c r="G3" s="2">
        <f t="shared" ref="G3" si="5">E3*F3</f>
        <v>18200</v>
      </c>
      <c r="H3" s="3"/>
      <c r="I3" s="3"/>
      <c r="J3" s="3">
        <f t="shared" si="0"/>
        <v>0</v>
      </c>
      <c r="K3" s="3">
        <f t="shared" si="1"/>
        <v>1820</v>
      </c>
      <c r="L3" s="4">
        <f t="shared" si="2"/>
        <v>0</v>
      </c>
      <c r="M3" s="4">
        <f t="shared" si="3"/>
        <v>18200</v>
      </c>
      <c r="N3" s="13" t="str">
        <f t="shared" si="4"/>
        <v>KEEP SELLING</v>
      </c>
      <c r="P3" s="10">
        <f>SUM(G10:G10)</f>
        <v>31620</v>
      </c>
      <c r="Q3" s="9">
        <f>SUM(L10:L10)</f>
        <v>0</v>
      </c>
    </row>
    <row r="4" spans="1:19" ht="18" customHeight="1" x14ac:dyDescent="0.2">
      <c r="A4" s="14" t="s">
        <v>16</v>
      </c>
      <c r="B4" s="14" t="s">
        <v>17</v>
      </c>
      <c r="C4" s="14" t="s">
        <v>20</v>
      </c>
      <c r="D4" s="14" t="s">
        <v>20</v>
      </c>
      <c r="E4" s="2">
        <v>10</v>
      </c>
      <c r="F4" s="15">
        <v>7905</v>
      </c>
      <c r="G4" s="2">
        <f t="shared" ref="G4:G9" si="6">E4*F4</f>
        <v>79050</v>
      </c>
      <c r="H4" s="3">
        <v>1860</v>
      </c>
      <c r="I4" s="3"/>
      <c r="J4" s="3">
        <f t="shared" ref="J4:J9" si="7">H4+I4</f>
        <v>1860</v>
      </c>
      <c r="K4" s="3">
        <f t="shared" ref="K4:K9" si="8">F4-J4</f>
        <v>6045</v>
      </c>
      <c r="L4" s="4">
        <f t="shared" ref="L4:L9" si="9">J4*E4</f>
        <v>18600</v>
      </c>
      <c r="M4" s="4">
        <f t="shared" ref="M4:M9" si="10">G4-L4</f>
        <v>60450</v>
      </c>
      <c r="N4" s="13" t="str">
        <f t="shared" ref="N4:N9" si="11">IF(M4&gt;0,"KEEP SELLING", "DO NOT SELL")</f>
        <v>KEEP SELLING</v>
      </c>
    </row>
    <row r="5" spans="1:19" ht="18" customHeight="1" x14ac:dyDescent="0.2">
      <c r="A5" s="14" t="s">
        <v>16</v>
      </c>
      <c r="B5" s="14" t="s">
        <v>17</v>
      </c>
      <c r="C5" s="14" t="s">
        <v>21</v>
      </c>
      <c r="D5" s="14" t="s">
        <v>21</v>
      </c>
      <c r="E5" s="2">
        <v>5</v>
      </c>
      <c r="F5" s="15">
        <v>1</v>
      </c>
      <c r="G5" s="2">
        <f t="shared" si="6"/>
        <v>5</v>
      </c>
      <c r="H5" s="3"/>
      <c r="I5" s="3"/>
      <c r="J5" s="3">
        <f t="shared" si="7"/>
        <v>0</v>
      </c>
      <c r="K5" s="3">
        <f t="shared" si="8"/>
        <v>1</v>
      </c>
      <c r="L5" s="4">
        <f t="shared" si="9"/>
        <v>0</v>
      </c>
      <c r="M5" s="4">
        <f t="shared" si="10"/>
        <v>5</v>
      </c>
      <c r="N5" s="13" t="str">
        <f t="shared" si="11"/>
        <v>KEEP SELLING</v>
      </c>
    </row>
    <row r="6" spans="1:19" ht="18" customHeight="1" x14ac:dyDescent="0.2">
      <c r="A6" s="14" t="s">
        <v>16</v>
      </c>
      <c r="B6" s="14" t="s">
        <v>17</v>
      </c>
      <c r="C6" s="14" t="s">
        <v>22</v>
      </c>
      <c r="D6" s="14" t="s">
        <v>22</v>
      </c>
      <c r="E6" s="2">
        <v>10</v>
      </c>
      <c r="F6" s="15">
        <v>3481</v>
      </c>
      <c r="G6" s="2">
        <f t="shared" si="6"/>
        <v>34810</v>
      </c>
      <c r="H6" s="3">
        <v>420</v>
      </c>
      <c r="I6" s="3"/>
      <c r="J6" s="3">
        <f t="shared" si="7"/>
        <v>420</v>
      </c>
      <c r="K6" s="3">
        <f t="shared" si="8"/>
        <v>3061</v>
      </c>
      <c r="L6" s="4">
        <f t="shared" si="9"/>
        <v>4200</v>
      </c>
      <c r="M6" s="4">
        <f t="shared" si="10"/>
        <v>30610</v>
      </c>
      <c r="N6" s="13" t="str">
        <f t="shared" si="11"/>
        <v>KEEP SELLING</v>
      </c>
    </row>
    <row r="7" spans="1:19" ht="18" customHeight="1" x14ac:dyDescent="0.2">
      <c r="A7" s="14" t="s">
        <v>16</v>
      </c>
      <c r="B7" s="14" t="s">
        <v>17</v>
      </c>
      <c r="C7" s="14" t="s">
        <v>23</v>
      </c>
      <c r="D7" s="14" t="s">
        <v>23</v>
      </c>
      <c r="E7" s="2">
        <v>30</v>
      </c>
      <c r="F7" s="15">
        <v>192</v>
      </c>
      <c r="G7" s="2">
        <f t="shared" si="6"/>
        <v>5760</v>
      </c>
      <c r="H7" s="3"/>
      <c r="I7" s="3"/>
      <c r="J7" s="3">
        <f t="shared" si="7"/>
        <v>0</v>
      </c>
      <c r="K7" s="3">
        <f t="shared" si="8"/>
        <v>192</v>
      </c>
      <c r="L7" s="4">
        <f t="shared" si="9"/>
        <v>0</v>
      </c>
      <c r="M7" s="4">
        <f t="shared" si="10"/>
        <v>5760</v>
      </c>
      <c r="N7" s="13" t="str">
        <f t="shared" si="11"/>
        <v>KEEP SELLING</v>
      </c>
    </row>
    <row r="8" spans="1:19" ht="18" customHeight="1" x14ac:dyDescent="0.2">
      <c r="A8" s="14" t="s">
        <v>16</v>
      </c>
      <c r="B8" s="14" t="s">
        <v>17</v>
      </c>
      <c r="C8" s="14" t="s">
        <v>24</v>
      </c>
      <c r="D8" s="14" t="s">
        <v>24</v>
      </c>
      <c r="E8" s="2">
        <v>30</v>
      </c>
      <c r="F8" s="15">
        <v>123</v>
      </c>
      <c r="G8" s="2">
        <f t="shared" si="6"/>
        <v>3690</v>
      </c>
      <c r="H8" s="3"/>
      <c r="I8" s="3"/>
      <c r="J8" s="3">
        <f t="shared" si="7"/>
        <v>0</v>
      </c>
      <c r="K8" s="3">
        <f t="shared" si="8"/>
        <v>123</v>
      </c>
      <c r="L8" s="4">
        <f t="shared" si="9"/>
        <v>0</v>
      </c>
      <c r="M8" s="4">
        <f t="shared" si="10"/>
        <v>3690</v>
      </c>
      <c r="N8" s="13" t="str">
        <f t="shared" si="11"/>
        <v>KEEP SELLING</v>
      </c>
    </row>
    <row r="9" spans="1:19" ht="18" customHeight="1" x14ac:dyDescent="0.2">
      <c r="A9" s="14" t="s">
        <v>16</v>
      </c>
      <c r="B9" s="14" t="s">
        <v>17</v>
      </c>
      <c r="C9" s="14" t="s">
        <v>13</v>
      </c>
      <c r="D9" s="14" t="s">
        <v>13</v>
      </c>
      <c r="E9" s="2">
        <v>80</v>
      </c>
      <c r="F9" s="15">
        <v>1220</v>
      </c>
      <c r="G9" s="2">
        <f t="shared" si="6"/>
        <v>97600</v>
      </c>
      <c r="H9" s="3">
        <v>20</v>
      </c>
      <c r="I9" s="3"/>
      <c r="J9" s="3">
        <f t="shared" si="7"/>
        <v>20</v>
      </c>
      <c r="K9" s="3">
        <f t="shared" si="8"/>
        <v>1200</v>
      </c>
      <c r="L9" s="4">
        <f t="shared" si="9"/>
        <v>1600</v>
      </c>
      <c r="M9" s="4">
        <f t="shared" si="10"/>
        <v>96000</v>
      </c>
      <c r="N9" s="13" t="str">
        <f t="shared" si="11"/>
        <v>KEEP SELLING</v>
      </c>
    </row>
    <row r="10" spans="1:19" ht="18" customHeight="1" x14ac:dyDescent="0.2">
      <c r="A10" s="14" t="s">
        <v>16</v>
      </c>
      <c r="B10" s="14" t="s">
        <v>25</v>
      </c>
      <c r="C10" s="14" t="s">
        <v>20</v>
      </c>
      <c r="D10" s="14" t="s">
        <v>20</v>
      </c>
      <c r="E10" s="2">
        <v>4</v>
      </c>
      <c r="F10" s="15">
        <v>7905</v>
      </c>
      <c r="G10" s="2">
        <f t="shared" ref="G10" si="12">E10*F10</f>
        <v>31620</v>
      </c>
      <c r="H10" s="3"/>
      <c r="I10" s="3"/>
      <c r="J10" s="3">
        <f t="shared" ref="J10" si="13">H10+I10</f>
        <v>0</v>
      </c>
      <c r="K10" s="3">
        <f t="shared" ref="K10" si="14">F10-J10</f>
        <v>7905</v>
      </c>
      <c r="L10" s="4">
        <f t="shared" ref="L10" si="15">J10*E10</f>
        <v>0</v>
      </c>
      <c r="M10" s="4">
        <f t="shared" ref="M10" si="16">G10-L10</f>
        <v>31620</v>
      </c>
      <c r="N10" s="13" t="str">
        <f t="shared" ref="N10" si="17">IF(M10&gt;0,"KEEP SELLING", "DO NOT SELL")</f>
        <v>KEEP SELLING</v>
      </c>
    </row>
  </sheetData>
  <conditionalFormatting sqref="H2:I10 K2:N10">
    <cfRule type="cellIs" dxfId="2" priority="1" operator="lessThan">
      <formula>0</formula>
    </cfRule>
  </conditionalFormatting>
  <conditionalFormatting sqref="N1:N1048576">
    <cfRule type="containsText" dxfId="1" priority="7" operator="containsText" text="DO NOT SELL">
      <formula>NOT(ISERROR(SEARCH("DO NOT SELL",N1)))</formula>
    </cfRule>
    <cfRule type="containsText" dxfId="0" priority="8" operator="containsText" text="KEEP SELLING">
      <formula>NOT(ISERROR(SEARCH("KEEP SELLING",N1)))</formula>
    </cfRule>
  </conditionalFormatting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 of now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Sebastian Aristizabal</cp:lastModifiedBy>
  <cp:revision>1</cp:revision>
  <dcterms:created xsi:type="dcterms:W3CDTF">2025-06-23T13:55:17Z</dcterms:created>
  <dcterms:modified xsi:type="dcterms:W3CDTF">2025-11-07T17:02:28Z</dcterms:modified>
  <cp:category/>
  <cp:contentStatus/>
</cp:coreProperties>
</file>