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2025\W47 SD Promotions\"/>
    </mc:Choice>
  </mc:AlternateContent>
  <xr:revisionPtr revIDLastSave="0" documentId="13_ncr:1_{8B4E8595-CAFE-4466-9B67-EF93E515030F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As of now" sheetId="13" r:id="rId1"/>
    <sheet name="Sheet1" sheetId="14" r:id="rId2"/>
  </sheets>
  <definedNames>
    <definedName name="_xlnm._FilterDatabase" localSheetId="0" hidden="1">'As of now'!$A$1:$N$18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3" l="1"/>
  <c r="L18" i="13" s="1"/>
  <c r="J17" i="13"/>
  <c r="K17" i="13" s="1"/>
  <c r="J16" i="13"/>
  <c r="L16" i="13" s="1"/>
  <c r="J15" i="13"/>
  <c r="K15" i="13" s="1"/>
  <c r="J14" i="13"/>
  <c r="L14" i="13" s="1"/>
  <c r="J13" i="13"/>
  <c r="L13" i="13" s="1"/>
  <c r="J12" i="13"/>
  <c r="L12" i="13" s="1"/>
  <c r="J11" i="13"/>
  <c r="L11" i="13" s="1"/>
  <c r="G18" i="13"/>
  <c r="P7" i="13" s="1"/>
  <c r="G17" i="13"/>
  <c r="G16" i="13"/>
  <c r="G15" i="13"/>
  <c r="G14" i="13"/>
  <c r="G13" i="13"/>
  <c r="G12" i="13"/>
  <c r="G11" i="13"/>
  <c r="J10" i="13"/>
  <c r="K10" i="13" s="1"/>
  <c r="G10" i="13"/>
  <c r="J9" i="13"/>
  <c r="L9" i="13" s="1"/>
  <c r="G9" i="13"/>
  <c r="J8" i="13"/>
  <c r="L8" i="13" s="1"/>
  <c r="G8" i="13"/>
  <c r="J7" i="13"/>
  <c r="L7" i="13" s="1"/>
  <c r="G7" i="13"/>
  <c r="J6" i="13"/>
  <c r="K6" i="13" s="1"/>
  <c r="G6" i="13"/>
  <c r="J5" i="13"/>
  <c r="L5" i="13" s="1"/>
  <c r="G5" i="13"/>
  <c r="J4" i="13"/>
  <c r="L4" i="13" s="1"/>
  <c r="G4" i="13"/>
  <c r="G3" i="13"/>
  <c r="P3" i="13" s="1"/>
  <c r="J3" i="13"/>
  <c r="K3" i="13" s="1"/>
  <c r="G2" i="13"/>
  <c r="P2" i="13" s="1"/>
  <c r="J2" i="13"/>
  <c r="K2" i="13" s="1"/>
  <c r="M14" i="13" l="1"/>
  <c r="N14" i="13" s="1"/>
  <c r="P5" i="13"/>
  <c r="M16" i="13"/>
  <c r="N16" i="13" s="1"/>
  <c r="P4" i="13"/>
  <c r="M18" i="13"/>
  <c r="N18" i="13" s="1"/>
  <c r="P6" i="13"/>
  <c r="K16" i="13"/>
  <c r="M11" i="13"/>
  <c r="N11" i="13" s="1"/>
  <c r="M12" i="13"/>
  <c r="N12" i="13" s="1"/>
  <c r="M13" i="13"/>
  <c r="N13" i="13" s="1"/>
  <c r="M8" i="13"/>
  <c r="N8" i="13" s="1"/>
  <c r="Q7" i="13"/>
  <c r="Q5" i="13"/>
  <c r="K11" i="13"/>
  <c r="K14" i="13"/>
  <c r="L17" i="13"/>
  <c r="M17" i="13" s="1"/>
  <c r="N17" i="13" s="1"/>
  <c r="L15" i="13"/>
  <c r="K13" i="13"/>
  <c r="K18" i="13"/>
  <c r="K12" i="13"/>
  <c r="M5" i="13"/>
  <c r="N5" i="13" s="1"/>
  <c r="M9" i="13"/>
  <c r="N9" i="13" s="1"/>
  <c r="L10" i="13"/>
  <c r="M4" i="13"/>
  <c r="N4" i="13" s="1"/>
  <c r="M7" i="13"/>
  <c r="N7" i="13" s="1"/>
  <c r="K4" i="13"/>
  <c r="K8" i="13"/>
  <c r="L6" i="13"/>
  <c r="M6" i="13" s="1"/>
  <c r="N6" i="13" s="1"/>
  <c r="K5" i="13"/>
  <c r="K7" i="13"/>
  <c r="K9" i="13"/>
  <c r="L3" i="13"/>
  <c r="Q3" i="13" s="1"/>
  <c r="L2" i="13"/>
  <c r="Q2" i="13" s="1"/>
  <c r="U2" i="13" l="1"/>
  <c r="W2" i="13"/>
  <c r="V2" i="13"/>
  <c r="M15" i="13"/>
  <c r="N15" i="13" s="1"/>
  <c r="Q6" i="13"/>
  <c r="Q4" i="13"/>
  <c r="T2" i="13" s="1"/>
  <c r="M10" i="13"/>
  <c r="N10" i="13" s="1"/>
  <c r="R2" i="13"/>
  <c r="M3" i="13"/>
  <c r="N3" i="13" s="1"/>
  <c r="S2" i="13"/>
  <c r="M2" i="13"/>
  <c r="N2" i="13" s="1"/>
</calcChain>
</file>

<file path=xl/sharedStrings.xml><?xml version="1.0" encoding="utf-8"?>
<sst xmlns="http://schemas.openxmlformats.org/spreadsheetml/2006/main" count="151" uniqueCount="40">
  <si>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</si>
  <si>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</si>
  <si>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</si>
  <si>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</si>
  <si>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</si>
  <si>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</si>
  <si>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</si>
  <si>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</si>
  <si>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</si>
  <si>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</si>
  <si>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</si>
  <si>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</si>
  <si>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</si>
  <si>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</si>
  <si>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A0S3A0A250001113</t>
  </si>
  <si>
    <t>G-A06</t>
  </si>
  <si>
    <t>G-A07</t>
  </si>
  <si>
    <t>G-A16</t>
  </si>
  <si>
    <t>G-A16-5G</t>
  </si>
  <si>
    <t>G-A17</t>
  </si>
  <si>
    <t>G-S25</t>
  </si>
  <si>
    <t>G-S25+</t>
  </si>
  <si>
    <t>A0S3A0A250001116</t>
  </si>
  <si>
    <t>A0S3A0A250001103</t>
  </si>
  <si>
    <t>A0S3A0A250001144</t>
  </si>
  <si>
    <t>A0S3A0A250001142</t>
  </si>
  <si>
    <t>A0S3A0A250001166</t>
  </si>
  <si>
    <t>Vitel W45 - W47 A16 Peak Season Special Deal</t>
  </si>
  <si>
    <t>VITEL W45-W47 A11 OM ST Promo</t>
  </si>
  <si>
    <t>Vitel W45-W47 VE Peak Season Sell-Thru Promotion</t>
  </si>
  <si>
    <t>VITEL W46-W47 A Series Peak Season ST Promo</t>
  </si>
  <si>
    <t>VITEL W46-W47 A Series VE ST Promo</t>
  </si>
  <si>
    <t>VITEL W47 A9 OM ST Promo</t>
  </si>
  <si>
    <t>G-TAB-A11</t>
  </si>
  <si>
    <t>G-A26-5G</t>
  </si>
  <si>
    <t>G-A36-5G</t>
  </si>
  <si>
    <t>G-A56-5G</t>
  </si>
  <si>
    <t>G-TAB-A9</t>
  </si>
  <si>
    <t>DO NOT SELL</t>
  </si>
  <si>
    <t>KEEP SELLING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</si>
</sst>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  <xf numFmtId="0" fontId="2" fillId="0" borderId="1" xfId="0" applyFont="1" applyBorder="1"/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sheetPr filterMode="1"/>
  <dimension ref="A1:W18"/>
  <sheetViews>
    <sheetView showGridLines="0" tabSelected="1" zoomScale="145" zoomScaleNormal="145" workbookViewId="0">
      <pane ySplit="1" topLeftCell="A15" activePane="bottomLeft" state="frozen"/>
      <selection pane="bottomLeft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1" bestFit="1" customWidth="1"/>
    <col min="22" max="23" width="10.42578125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1116</v>
      </c>
      <c r="S1" s="11">
        <v>1103</v>
      </c>
      <c r="T1" s="11">
        <v>1113</v>
      </c>
      <c r="U1" s="11">
        <v>1144</v>
      </c>
      <c r="V1" s="11">
        <v>1142</v>
      </c>
      <c r="W1" s="11">
        <v>1166</v>
      </c>
    </row>
    <row r="2" spans="1:23" ht="18" hidden="1" customHeight="1" x14ac:dyDescent="0.2">
      <c r="A2" s="14" t="s">
        <v>22</v>
      </c>
      <c r="B2" s="14" t="s">
        <v>27</v>
      </c>
      <c r="C2" s="14" t="s">
        <v>17</v>
      </c>
      <c r="D2" s="14" t="s">
        <v>17</v>
      </c>
      <c r="E2" s="2">
        <v>4</v>
      </c>
      <c r="F2" s="16">
        <v>3200</v>
      </c>
      <c r="G2" s="2">
        <f>E2*F2</f>
        <v>12800</v>
      </c>
      <c r="H2" s="3">
        <v>6640</v>
      </c>
      <c r="I2" s="3"/>
      <c r="J2" s="3">
        <f t="shared" ref="J2:J3" si="0">H2+I2</f>
        <v>6640</v>
      </c>
      <c r="K2" s="3">
        <f t="shared" ref="K2:K3" si="1">F2-J2</f>
        <v>-3440</v>
      </c>
      <c r="L2" s="4">
        <f t="shared" ref="L2:L3" si="2">J2*E2</f>
        <v>26560</v>
      </c>
      <c r="M2" s="4">
        <f t="shared" ref="M2:M3" si="3">G2-L2</f>
        <v>-13760</v>
      </c>
      <c r="N2" s="13" t="str">
        <f t="shared" ref="N2:N3" si="4">IF(M2&gt;0,"KEEP SELLING", "DO NOT SELL")</f>
        <v>DO NOT SELL</v>
      </c>
      <c r="P2" s="10">
        <f>SUM(G2)</f>
        <v>12800</v>
      </c>
      <c r="Q2" s="9">
        <f>SUM(L2)</f>
        <v>26560</v>
      </c>
      <c r="R2" s="12">
        <f>P2-Q2</f>
        <v>-13760</v>
      </c>
      <c r="S2" s="12">
        <f>P3-Q3</f>
        <v>-4420</v>
      </c>
      <c r="T2" s="12">
        <f>P4-Q4</f>
        <v>-24930</v>
      </c>
      <c r="U2" s="12">
        <f>P5-Q5</f>
        <v>2320</v>
      </c>
      <c r="V2" s="12">
        <f>P3-Q3</f>
        <v>-4420</v>
      </c>
      <c r="W2" s="12">
        <f>P3-Q3</f>
        <v>-4420</v>
      </c>
    </row>
    <row r="3" spans="1:23" ht="18" hidden="1" customHeight="1" x14ac:dyDescent="0.2">
      <c r="A3" s="14" t="s">
        <v>23</v>
      </c>
      <c r="B3" s="14" t="s">
        <v>28</v>
      </c>
      <c r="C3" s="14" t="s">
        <v>33</v>
      </c>
      <c r="D3" s="14" t="s">
        <v>33</v>
      </c>
      <c r="E3" s="2">
        <v>13</v>
      </c>
      <c r="F3" s="16">
        <v>0</v>
      </c>
      <c r="G3" s="2">
        <f t="shared" ref="G3" si="5">E3*F3</f>
        <v>0</v>
      </c>
      <c r="H3" s="3">
        <v>140</v>
      </c>
      <c r="I3" s="3">
        <v>200</v>
      </c>
      <c r="J3" s="3">
        <f t="shared" si="0"/>
        <v>340</v>
      </c>
      <c r="K3" s="3">
        <f t="shared" si="1"/>
        <v>-340</v>
      </c>
      <c r="L3" s="4">
        <f t="shared" si="2"/>
        <v>4420</v>
      </c>
      <c r="M3" s="4">
        <f t="shared" si="3"/>
        <v>-4420</v>
      </c>
      <c r="N3" s="13" t="str">
        <f t="shared" si="4"/>
        <v>DO NOT SELL</v>
      </c>
      <c r="P3" s="10">
        <f>SUM(G3:G3)</f>
        <v>0</v>
      </c>
      <c r="Q3" s="9">
        <f>SUM(L3:L3)</f>
        <v>4420</v>
      </c>
    </row>
    <row r="4" spans="1:23" ht="18" hidden="1" customHeight="1" x14ac:dyDescent="0.2">
      <c r="A4" s="17" t="s">
        <v>14</v>
      </c>
      <c r="B4" s="14" t="s">
        <v>29</v>
      </c>
      <c r="C4" s="14" t="s">
        <v>15</v>
      </c>
      <c r="D4" s="14" t="s">
        <v>15</v>
      </c>
      <c r="E4" s="2">
        <v>10</v>
      </c>
      <c r="F4" s="16">
        <v>3004</v>
      </c>
      <c r="G4" s="2">
        <f t="shared" ref="G4:G9" si="6">E4*F4</f>
        <v>30040</v>
      </c>
      <c r="H4" s="3">
        <v>3004</v>
      </c>
      <c r="I4" s="3"/>
      <c r="J4" s="3">
        <f t="shared" ref="J4:J9" si="7">H4+I4</f>
        <v>3004</v>
      </c>
      <c r="K4" s="3">
        <f t="shared" ref="K4:K9" si="8">F4-J4</f>
        <v>0</v>
      </c>
      <c r="L4" s="4">
        <f t="shared" ref="L4:L9" si="9">J4*E4</f>
        <v>30040</v>
      </c>
      <c r="M4" s="4">
        <f t="shared" ref="M4:M9" si="10">G4-L4</f>
        <v>0</v>
      </c>
      <c r="N4" s="13" t="str">
        <f t="shared" ref="N4:N9" si="11">IF(M4&gt;0,"KEEP SELLING", "DO NOT SELL")</f>
        <v>DO NOT SELL</v>
      </c>
      <c r="P4" s="10">
        <f>SUM(G4:G11)</f>
        <v>196640</v>
      </c>
      <c r="Q4" s="9">
        <f>SUM(L4:L11)</f>
        <v>221570</v>
      </c>
    </row>
    <row r="5" spans="1:23" ht="18" hidden="1" customHeight="1" x14ac:dyDescent="0.2">
      <c r="A5" s="14" t="s">
        <v>14</v>
      </c>
      <c r="B5" s="14" t="s">
        <v>29</v>
      </c>
      <c r="C5" s="14" t="s">
        <v>16</v>
      </c>
      <c r="D5" s="14" t="s">
        <v>16</v>
      </c>
      <c r="E5" s="2">
        <v>10</v>
      </c>
      <c r="F5" s="16">
        <v>300</v>
      </c>
      <c r="G5" s="2">
        <f t="shared" si="6"/>
        <v>3000</v>
      </c>
      <c r="H5" s="3">
        <v>300</v>
      </c>
      <c r="I5" s="3"/>
      <c r="J5" s="3">
        <f t="shared" si="7"/>
        <v>300</v>
      </c>
      <c r="K5" s="3">
        <f t="shared" si="8"/>
        <v>0</v>
      </c>
      <c r="L5" s="4">
        <f t="shared" si="9"/>
        <v>3000</v>
      </c>
      <c r="M5" s="4">
        <f t="shared" si="10"/>
        <v>0</v>
      </c>
      <c r="N5" s="13" t="str">
        <f t="shared" si="11"/>
        <v>DO NOT SELL</v>
      </c>
      <c r="P5" s="10">
        <f>SUM(G12:G14)</f>
        <v>5832</v>
      </c>
      <c r="Q5" s="9">
        <f>SUM(L12:L14)</f>
        <v>3512</v>
      </c>
    </row>
    <row r="6" spans="1:23" ht="18" hidden="1" customHeight="1" x14ac:dyDescent="0.2">
      <c r="A6" s="14" t="s">
        <v>14</v>
      </c>
      <c r="B6" s="14" t="s">
        <v>29</v>
      </c>
      <c r="C6" s="14" t="s">
        <v>17</v>
      </c>
      <c r="D6" s="14" t="s">
        <v>17</v>
      </c>
      <c r="E6" s="2">
        <v>10</v>
      </c>
      <c r="F6" s="16">
        <v>6960</v>
      </c>
      <c r="G6" s="2">
        <f t="shared" si="6"/>
        <v>69600</v>
      </c>
      <c r="H6" s="3">
        <v>6560</v>
      </c>
      <c r="I6" s="3">
        <v>500</v>
      </c>
      <c r="J6" s="3">
        <f t="shared" si="7"/>
        <v>7060</v>
      </c>
      <c r="K6" s="3">
        <f t="shared" si="8"/>
        <v>-100</v>
      </c>
      <c r="L6" s="4">
        <f t="shared" si="9"/>
        <v>70600</v>
      </c>
      <c r="M6" s="4">
        <f t="shared" si="10"/>
        <v>-1000</v>
      </c>
      <c r="N6" s="13" t="str">
        <f t="shared" si="11"/>
        <v>DO NOT SELL</v>
      </c>
      <c r="P6" s="10">
        <f>SUM(G15:G17)</f>
        <v>15340</v>
      </c>
      <c r="Q6" s="9">
        <f>SUM(L15:L17)</f>
        <v>19140</v>
      </c>
    </row>
    <row r="7" spans="1:23" ht="18" hidden="1" customHeight="1" x14ac:dyDescent="0.2">
      <c r="A7" s="14" t="s">
        <v>14</v>
      </c>
      <c r="B7" s="14" t="s">
        <v>29</v>
      </c>
      <c r="C7" s="14" t="s">
        <v>18</v>
      </c>
      <c r="D7" s="14" t="s">
        <v>18</v>
      </c>
      <c r="E7" s="2">
        <v>5</v>
      </c>
      <c r="F7" s="16">
        <v>0</v>
      </c>
      <c r="G7" s="2">
        <f t="shared" si="6"/>
        <v>0</v>
      </c>
      <c r="H7" s="3"/>
      <c r="I7" s="3"/>
      <c r="J7" s="3">
        <f t="shared" si="7"/>
        <v>0</v>
      </c>
      <c r="K7" s="3">
        <f t="shared" si="8"/>
        <v>0</v>
      </c>
      <c r="L7" s="4">
        <f t="shared" si="9"/>
        <v>0</v>
      </c>
      <c r="M7" s="4">
        <f t="shared" si="10"/>
        <v>0</v>
      </c>
      <c r="N7" s="13" t="str">
        <f t="shared" si="11"/>
        <v>DO NOT SELL</v>
      </c>
      <c r="P7" s="10">
        <f>SUM(G18:G18)</f>
        <v>0</v>
      </c>
      <c r="Q7" s="9">
        <f>SUM(L18:L18)</f>
        <v>0</v>
      </c>
    </row>
    <row r="8" spans="1:23" ht="18" hidden="1" customHeight="1" x14ac:dyDescent="0.2">
      <c r="A8" s="14" t="s">
        <v>14</v>
      </c>
      <c r="B8" s="14" t="s">
        <v>29</v>
      </c>
      <c r="C8" s="14" t="s">
        <v>19</v>
      </c>
      <c r="D8" s="14" t="s">
        <v>19</v>
      </c>
      <c r="E8" s="2">
        <v>10</v>
      </c>
      <c r="F8" s="16">
        <v>2258</v>
      </c>
      <c r="G8" s="2">
        <f t="shared" si="6"/>
        <v>22580</v>
      </c>
      <c r="H8" s="3">
        <v>1878</v>
      </c>
      <c r="I8" s="3">
        <v>620</v>
      </c>
      <c r="J8" s="3">
        <f t="shared" si="7"/>
        <v>2498</v>
      </c>
      <c r="K8" s="3">
        <f t="shared" si="8"/>
        <v>-240</v>
      </c>
      <c r="L8" s="4">
        <f t="shared" si="9"/>
        <v>24980</v>
      </c>
      <c r="M8" s="4">
        <f t="shared" si="10"/>
        <v>-2400</v>
      </c>
      <c r="N8" s="13" t="str">
        <f t="shared" si="11"/>
        <v>DO NOT SELL</v>
      </c>
    </row>
    <row r="9" spans="1:23" ht="18" hidden="1" customHeight="1" x14ac:dyDescent="0.2">
      <c r="A9" s="14" t="s">
        <v>14</v>
      </c>
      <c r="B9" s="14" t="s">
        <v>29</v>
      </c>
      <c r="C9" s="14" t="s">
        <v>20</v>
      </c>
      <c r="D9" s="14" t="s">
        <v>20</v>
      </c>
      <c r="E9" s="2">
        <v>30</v>
      </c>
      <c r="F9" s="16">
        <v>114</v>
      </c>
      <c r="G9" s="2">
        <f t="shared" si="6"/>
        <v>3420</v>
      </c>
      <c r="H9" s="3">
        <v>157</v>
      </c>
      <c r="I9" s="3"/>
      <c r="J9" s="3">
        <f t="shared" si="7"/>
        <v>157</v>
      </c>
      <c r="K9" s="3">
        <f t="shared" si="8"/>
        <v>-43</v>
      </c>
      <c r="L9" s="4">
        <f t="shared" si="9"/>
        <v>4710</v>
      </c>
      <c r="M9" s="4">
        <f t="shared" si="10"/>
        <v>-1290</v>
      </c>
      <c r="N9" s="13" t="str">
        <f t="shared" si="11"/>
        <v>DO NOT SELL</v>
      </c>
    </row>
    <row r="10" spans="1:23" ht="18" hidden="1" customHeight="1" x14ac:dyDescent="0.2">
      <c r="A10" s="14" t="s">
        <v>14</v>
      </c>
      <c r="B10" s="14" t="s">
        <v>29</v>
      </c>
      <c r="C10" s="14" t="s">
        <v>21</v>
      </c>
      <c r="D10" s="14" t="s">
        <v>21</v>
      </c>
      <c r="E10" s="2">
        <v>30</v>
      </c>
      <c r="F10" s="16">
        <v>0</v>
      </c>
      <c r="G10" s="2">
        <f t="shared" ref="G10:G18" si="12">E10*F10</f>
        <v>0</v>
      </c>
      <c r="H10" s="3"/>
      <c r="I10" s="3"/>
      <c r="J10" s="3">
        <f t="shared" ref="J10" si="13">H10+I10</f>
        <v>0</v>
      </c>
      <c r="K10" s="3">
        <f t="shared" ref="K10" si="14">F10-J10</f>
        <v>0</v>
      </c>
      <c r="L10" s="4">
        <f t="shared" ref="L10" si="15">J10*E10</f>
        <v>0</v>
      </c>
      <c r="M10" s="4">
        <f t="shared" ref="M10" si="16">G10-L10</f>
        <v>0</v>
      </c>
      <c r="N10" s="13" t="str">
        <f t="shared" ref="N10" si="17">IF(M10&gt;0,"KEEP SELLING", "DO NOT SELL")</f>
        <v>DO NOT SELL</v>
      </c>
    </row>
    <row r="11" spans="1:23" ht="18" hidden="1" customHeight="1" x14ac:dyDescent="0.2">
      <c r="A11" s="14" t="s">
        <v>14</v>
      </c>
      <c r="B11" s="14" t="s">
        <v>29</v>
      </c>
      <c r="C11" s="14" t="s">
        <v>13</v>
      </c>
      <c r="D11" s="14" t="s">
        <v>13</v>
      </c>
      <c r="E11" s="2">
        <v>80</v>
      </c>
      <c r="F11" s="16">
        <v>850</v>
      </c>
      <c r="G11" s="2">
        <f t="shared" si="12"/>
        <v>68000</v>
      </c>
      <c r="H11" s="3">
        <v>633</v>
      </c>
      <c r="I11" s="3">
        <v>470</v>
      </c>
      <c r="J11" s="3">
        <f t="shared" ref="J11:J18" si="18">H11+I11</f>
        <v>1103</v>
      </c>
      <c r="K11" s="3">
        <f t="shared" ref="K11:K18" si="19">F11-J11</f>
        <v>-253</v>
      </c>
      <c r="L11" s="4">
        <f t="shared" ref="L11:L18" si="20">J11*E11</f>
        <v>88240</v>
      </c>
      <c r="M11" s="4">
        <f t="shared" ref="M11:M18" si="21">G11-L11</f>
        <v>-20240</v>
      </c>
      <c r="N11" s="13" t="str">
        <f t="shared" ref="N11:N18" si="22">IF(M11&gt;0,"KEEP SELLING", "DO NOT SELL")</f>
        <v>DO NOT SELL</v>
      </c>
    </row>
    <row r="12" spans="1:23" ht="18" hidden="1" customHeight="1" x14ac:dyDescent="0.2">
      <c r="A12" s="14" t="s">
        <v>24</v>
      </c>
      <c r="B12" s="14" t="s">
        <v>30</v>
      </c>
      <c r="C12" s="14" t="s">
        <v>34</v>
      </c>
      <c r="D12" s="14" t="s">
        <v>34</v>
      </c>
      <c r="E12" s="2">
        <v>4</v>
      </c>
      <c r="F12" s="16">
        <v>0</v>
      </c>
      <c r="G12" s="2">
        <f t="shared" si="12"/>
        <v>0</v>
      </c>
      <c r="H12" s="3"/>
      <c r="I12" s="3"/>
      <c r="J12" s="3">
        <f t="shared" si="18"/>
        <v>0</v>
      </c>
      <c r="K12" s="3">
        <f t="shared" si="19"/>
        <v>0</v>
      </c>
      <c r="L12" s="4">
        <f t="shared" si="20"/>
        <v>0</v>
      </c>
      <c r="M12" s="4">
        <f t="shared" si="21"/>
        <v>0</v>
      </c>
      <c r="N12" s="13" t="str">
        <f t="shared" si="22"/>
        <v>DO NOT SELL</v>
      </c>
    </row>
    <row r="13" spans="1:23" ht="18" hidden="1" customHeight="1" x14ac:dyDescent="0.2">
      <c r="A13" s="14" t="s">
        <v>24</v>
      </c>
      <c r="B13" s="14" t="s">
        <v>30</v>
      </c>
      <c r="C13" s="14" t="s">
        <v>35</v>
      </c>
      <c r="D13" s="14" t="s">
        <v>35</v>
      </c>
      <c r="E13" s="2">
        <v>4</v>
      </c>
      <c r="F13" s="16">
        <v>800</v>
      </c>
      <c r="G13" s="2">
        <f t="shared" si="12"/>
        <v>3200</v>
      </c>
      <c r="H13" s="3"/>
      <c r="I13" s="3">
        <v>220</v>
      </c>
      <c r="J13" s="3">
        <f t="shared" si="18"/>
        <v>220</v>
      </c>
      <c r="K13" s="3">
        <f t="shared" si="19"/>
        <v>580</v>
      </c>
      <c r="L13" s="4">
        <f t="shared" si="20"/>
        <v>880</v>
      </c>
      <c r="M13" s="4">
        <f t="shared" si="21"/>
        <v>2320</v>
      </c>
      <c r="N13" s="13" t="str">
        <f t="shared" si="22"/>
        <v>KEEP SELLING</v>
      </c>
    </row>
    <row r="14" spans="1:23" ht="18" hidden="1" customHeight="1" x14ac:dyDescent="0.2">
      <c r="A14" s="14" t="s">
        <v>24</v>
      </c>
      <c r="B14" s="14" t="s">
        <v>30</v>
      </c>
      <c r="C14" s="14" t="s">
        <v>36</v>
      </c>
      <c r="D14" s="14" t="s">
        <v>36</v>
      </c>
      <c r="E14" s="2">
        <v>4</v>
      </c>
      <c r="F14" s="16">
        <v>658</v>
      </c>
      <c r="G14" s="2">
        <f t="shared" si="12"/>
        <v>2632</v>
      </c>
      <c r="H14" s="3">
        <v>658</v>
      </c>
      <c r="I14" s="3"/>
      <c r="J14" s="3">
        <f t="shared" si="18"/>
        <v>658</v>
      </c>
      <c r="K14" s="3">
        <f t="shared" si="19"/>
        <v>0</v>
      </c>
      <c r="L14" s="4">
        <f t="shared" si="20"/>
        <v>2632</v>
      </c>
      <c r="M14" s="4">
        <f t="shared" si="21"/>
        <v>0</v>
      </c>
      <c r="N14" s="13" t="str">
        <f t="shared" si="22"/>
        <v>DO NOT SELL</v>
      </c>
    </row>
    <row r="15" spans="1:23" ht="18" customHeight="1" x14ac:dyDescent="0.2">
      <c r="A15" s="14" t="s">
        <v>25</v>
      </c>
      <c r="B15" s="14" t="s">
        <v>31</v>
      </c>
      <c r="C15" s="14" t="s">
        <v>34</v>
      </c>
      <c r="D15" s="14" t="s">
        <v>34</v>
      </c>
      <c r="E15" s="2">
        <v>10</v>
      </c>
      <c r="F15" s="16">
        <v>373</v>
      </c>
      <c r="G15" s="2">
        <f t="shared" si="12"/>
        <v>3730</v>
      </c>
      <c r="H15" s="3">
        <v>293</v>
      </c>
      <c r="I15" s="3">
        <v>116</v>
      </c>
      <c r="J15" s="3">
        <f t="shared" si="18"/>
        <v>409</v>
      </c>
      <c r="K15" s="3">
        <f t="shared" si="19"/>
        <v>-36</v>
      </c>
      <c r="L15" s="4">
        <f t="shared" si="20"/>
        <v>4090</v>
      </c>
      <c r="M15" s="4">
        <f t="shared" si="21"/>
        <v>-360</v>
      </c>
      <c r="N15" s="13" t="str">
        <f t="shared" si="22"/>
        <v>DO NOT SELL</v>
      </c>
    </row>
    <row r="16" spans="1:23" ht="18" customHeight="1" x14ac:dyDescent="0.2">
      <c r="A16" s="14" t="s">
        <v>25</v>
      </c>
      <c r="B16" s="14" t="s">
        <v>31</v>
      </c>
      <c r="C16" s="14" t="s">
        <v>35</v>
      </c>
      <c r="D16" s="14" t="s">
        <v>35</v>
      </c>
      <c r="E16" s="2">
        <v>10</v>
      </c>
      <c r="F16" s="16">
        <v>280</v>
      </c>
      <c r="G16" s="2">
        <f t="shared" si="12"/>
        <v>2800</v>
      </c>
      <c r="H16" s="3">
        <v>245</v>
      </c>
      <c r="I16" s="3">
        <v>60</v>
      </c>
      <c r="J16" s="3">
        <f t="shared" si="18"/>
        <v>305</v>
      </c>
      <c r="K16" s="3">
        <f t="shared" si="19"/>
        <v>-25</v>
      </c>
      <c r="L16" s="4">
        <f t="shared" si="20"/>
        <v>3050</v>
      </c>
      <c r="M16" s="4">
        <f t="shared" si="21"/>
        <v>-250</v>
      </c>
      <c r="N16" s="13" t="str">
        <f t="shared" si="22"/>
        <v>DO NOT SELL</v>
      </c>
    </row>
    <row r="17" spans="1:14" ht="18" customHeight="1" x14ac:dyDescent="0.2">
      <c r="A17" s="14" t="s">
        <v>25</v>
      </c>
      <c r="B17" s="14" t="s">
        <v>31</v>
      </c>
      <c r="C17" s="14" t="s">
        <v>36</v>
      </c>
      <c r="D17" s="14" t="s">
        <v>36</v>
      </c>
      <c r="E17" s="2">
        <v>10</v>
      </c>
      <c r="F17" s="16">
        <v>881</v>
      </c>
      <c r="G17" s="2">
        <f t="shared" si="12"/>
        <v>8810</v>
      </c>
      <c r="H17" s="3">
        <v>526</v>
      </c>
      <c r="I17" s="3">
        <v>674</v>
      </c>
      <c r="J17" s="3">
        <f t="shared" si="18"/>
        <v>1200</v>
      </c>
      <c r="K17" s="3">
        <f t="shared" si="19"/>
        <v>-319</v>
      </c>
      <c r="L17" s="4">
        <f t="shared" si="20"/>
        <v>12000</v>
      </c>
      <c r="M17" s="4">
        <f t="shared" si="21"/>
        <v>-3190</v>
      </c>
      <c r="N17" s="13" t="str">
        <f t="shared" si="22"/>
        <v>DO NOT SELL</v>
      </c>
    </row>
    <row r="18" spans="1:14" ht="18" hidden="1" customHeight="1" x14ac:dyDescent="0.2">
      <c r="A18" s="14" t="s">
        <v>26</v>
      </c>
      <c r="B18" s="14" t="s">
        <v>32</v>
      </c>
      <c r="C18" s="14" t="s">
        <v>37</v>
      </c>
      <c r="D18" s="14" t="s">
        <v>37</v>
      </c>
      <c r="E18" s="2">
        <v>10</v>
      </c>
      <c r="F18" s="16">
        <v>0</v>
      </c>
      <c r="G18" s="2">
        <f t="shared" si="12"/>
        <v>0</v>
      </c>
      <c r="H18" s="3"/>
      <c r="I18" s="3"/>
      <c r="J18" s="3">
        <f t="shared" si="18"/>
        <v>0</v>
      </c>
      <c r="K18" s="3">
        <f t="shared" si="19"/>
        <v>0</v>
      </c>
      <c r="L18" s="4">
        <f t="shared" si="20"/>
        <v>0</v>
      </c>
      <c r="M18" s="4">
        <f t="shared" si="21"/>
        <v>0</v>
      </c>
      <c r="N18" s="13" t="str">
        <f t="shared" si="22"/>
        <v>DO NOT SELL</v>
      </c>
    </row>
  </sheetData>
  <autoFilter ref="A1:N18" xr:uid="{824B3D37-9A6F-4650-B475-D01F00096AE9}">
    <filterColumn colId="0">
      <filters>
        <filter val="A0S3A0A250001142"/>
      </filters>
    </filterColumn>
  </autoFilter>
  <conditionalFormatting sqref="H2:I18 K2:N18">
    <cfRule type="cellIs" dxfId="5" priority="1" operator="lessThan">
      <formula>0</formula>
    </cfRule>
  </conditionalFormatting>
  <conditionalFormatting sqref="N1:N1048576">
    <cfRule type="containsText" dxfId="4" priority="8" operator="containsText" text="DO NOT SELL">
      <formula>NOT(ISERROR(SEARCH("DO NOT SELL",N1)))</formula>
    </cfRule>
    <cfRule type="containsText" dxfId="3" priority="9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2216-0DC7-4214-B490-899859CBC0D3}">
  <dimension ref="A1:N12"/>
  <sheetViews>
    <sheetView workbookViewId="0">
      <selection activeCell="I9" sqref="I9"/>
    </sheetView>
  </sheetViews>
  <sheetFormatPr defaultRowHeight="12.75" x14ac:dyDescent="0.2"/>
  <cols>
    <col min="1" max="1" width="20.140625" bestFit="1" customWidth="1"/>
    <col min="2" max="2" width="42.7109375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7.42578125" bestFit="1" customWidth="1"/>
    <col min="9" max="9" width="7.5703125" bestFit="1" customWidth="1"/>
    <col min="10" max="10" width="5" bestFit="1" customWidth="1"/>
    <col min="12" max="12" width="11.7109375" bestFit="1" customWidth="1"/>
    <col min="13" max="13" width="16" bestFit="1" customWidth="1"/>
    <col min="14" max="14" width="11.42578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</row>
    <row r="2" spans="1:14" x14ac:dyDescent="0.2">
      <c r="A2" s="17" t="s">
        <v>14</v>
      </c>
      <c r="B2" s="14" t="s">
        <v>29</v>
      </c>
      <c r="C2" s="14" t="s">
        <v>15</v>
      </c>
      <c r="D2" s="14" t="s">
        <v>15</v>
      </c>
      <c r="E2" s="2">
        <v>10</v>
      </c>
      <c r="F2" s="16">
        <v>3004</v>
      </c>
      <c r="G2" s="2">
        <v>30040</v>
      </c>
      <c r="H2" s="3">
        <v>3004</v>
      </c>
      <c r="I2" s="3"/>
      <c r="J2" s="3">
        <v>3004</v>
      </c>
      <c r="K2" s="3">
        <v>0</v>
      </c>
      <c r="L2" s="4">
        <v>30040</v>
      </c>
      <c r="M2" s="4">
        <v>0</v>
      </c>
      <c r="N2" s="13" t="s">
        <v>38</v>
      </c>
    </row>
    <row r="3" spans="1:14" x14ac:dyDescent="0.2">
      <c r="A3" s="14" t="s">
        <v>14</v>
      </c>
      <c r="B3" s="14" t="s">
        <v>29</v>
      </c>
      <c r="C3" s="14" t="s">
        <v>16</v>
      </c>
      <c r="D3" s="14" t="s">
        <v>16</v>
      </c>
      <c r="E3" s="2">
        <v>10</v>
      </c>
      <c r="F3" s="16">
        <v>300</v>
      </c>
      <c r="G3" s="2">
        <v>3000</v>
      </c>
      <c r="H3" s="3">
        <v>300</v>
      </c>
      <c r="I3" s="3"/>
      <c r="J3" s="3">
        <v>300</v>
      </c>
      <c r="K3" s="3">
        <v>0</v>
      </c>
      <c r="L3" s="4">
        <v>3000</v>
      </c>
      <c r="M3" s="4">
        <v>0</v>
      </c>
      <c r="N3" s="13" t="s">
        <v>38</v>
      </c>
    </row>
    <row r="4" spans="1:14" x14ac:dyDescent="0.2">
      <c r="A4" s="14" t="s">
        <v>14</v>
      </c>
      <c r="B4" s="14" t="s">
        <v>29</v>
      </c>
      <c r="C4" s="14" t="s">
        <v>17</v>
      </c>
      <c r="D4" s="14" t="s">
        <v>17</v>
      </c>
      <c r="E4" s="2">
        <v>10</v>
      </c>
      <c r="F4" s="16">
        <v>6960</v>
      </c>
      <c r="G4" s="2">
        <v>69600</v>
      </c>
      <c r="H4" s="3">
        <v>6560</v>
      </c>
      <c r="I4" s="3">
        <v>500</v>
      </c>
      <c r="J4" s="3">
        <v>7060</v>
      </c>
      <c r="K4" s="3">
        <v>-100</v>
      </c>
      <c r="L4" s="4">
        <v>70600</v>
      </c>
      <c r="M4" s="4">
        <v>-1000</v>
      </c>
      <c r="N4" s="13" t="s">
        <v>38</v>
      </c>
    </row>
    <row r="5" spans="1:14" x14ac:dyDescent="0.2">
      <c r="A5" s="14" t="s">
        <v>14</v>
      </c>
      <c r="B5" s="14" t="s">
        <v>29</v>
      </c>
      <c r="C5" s="14" t="s">
        <v>18</v>
      </c>
      <c r="D5" s="14" t="s">
        <v>18</v>
      </c>
      <c r="E5" s="2">
        <v>5</v>
      </c>
      <c r="F5" s="16">
        <v>0</v>
      </c>
      <c r="G5" s="2">
        <v>0</v>
      </c>
      <c r="H5" s="3"/>
      <c r="I5" s="3"/>
      <c r="J5" s="3">
        <v>0</v>
      </c>
      <c r="K5" s="3">
        <v>0</v>
      </c>
      <c r="L5" s="4">
        <v>0</v>
      </c>
      <c r="M5" s="4">
        <v>0</v>
      </c>
      <c r="N5" s="13" t="s">
        <v>38</v>
      </c>
    </row>
    <row r="6" spans="1:14" x14ac:dyDescent="0.2">
      <c r="A6" s="14" t="s">
        <v>14</v>
      </c>
      <c r="B6" s="14" t="s">
        <v>29</v>
      </c>
      <c r="C6" s="14" t="s">
        <v>19</v>
      </c>
      <c r="D6" s="14" t="s">
        <v>19</v>
      </c>
      <c r="E6" s="2">
        <v>10</v>
      </c>
      <c r="F6" s="16">
        <v>2258</v>
      </c>
      <c r="G6" s="2">
        <v>22580</v>
      </c>
      <c r="H6" s="3">
        <v>1878</v>
      </c>
      <c r="I6" s="3">
        <v>620</v>
      </c>
      <c r="J6" s="3">
        <v>2498</v>
      </c>
      <c r="K6" s="3">
        <v>-240</v>
      </c>
      <c r="L6" s="4">
        <v>24980</v>
      </c>
      <c r="M6" s="4">
        <v>-2400</v>
      </c>
      <c r="N6" s="13" t="s">
        <v>38</v>
      </c>
    </row>
    <row r="7" spans="1:14" x14ac:dyDescent="0.2">
      <c r="A7" s="14" t="s">
        <v>14</v>
      </c>
      <c r="B7" s="14" t="s">
        <v>29</v>
      </c>
      <c r="C7" s="14" t="s">
        <v>20</v>
      </c>
      <c r="D7" s="14" t="s">
        <v>20</v>
      </c>
      <c r="E7" s="2">
        <v>30</v>
      </c>
      <c r="F7" s="16">
        <v>114</v>
      </c>
      <c r="G7" s="2">
        <v>3420</v>
      </c>
      <c r="H7" s="3">
        <v>157</v>
      </c>
      <c r="I7" s="3"/>
      <c r="J7" s="3">
        <v>157</v>
      </c>
      <c r="K7" s="3">
        <v>-43</v>
      </c>
      <c r="L7" s="4">
        <v>4710</v>
      </c>
      <c r="M7" s="4">
        <v>-1290</v>
      </c>
      <c r="N7" s="13" t="s">
        <v>38</v>
      </c>
    </row>
    <row r="8" spans="1:14" x14ac:dyDescent="0.2">
      <c r="A8" s="14" t="s">
        <v>14</v>
      </c>
      <c r="B8" s="14" t="s">
        <v>29</v>
      </c>
      <c r="C8" s="14" t="s">
        <v>21</v>
      </c>
      <c r="D8" s="14" t="s">
        <v>21</v>
      </c>
      <c r="E8" s="2">
        <v>30</v>
      </c>
      <c r="F8" s="16">
        <v>0</v>
      </c>
      <c r="G8" s="2">
        <v>0</v>
      </c>
      <c r="H8" s="3"/>
      <c r="I8" s="3"/>
      <c r="J8" s="3">
        <v>0</v>
      </c>
      <c r="K8" s="3">
        <v>0</v>
      </c>
      <c r="L8" s="4">
        <v>0</v>
      </c>
      <c r="M8" s="4">
        <v>0</v>
      </c>
      <c r="N8" s="13" t="s">
        <v>38</v>
      </c>
    </row>
    <row r="9" spans="1:14" x14ac:dyDescent="0.2">
      <c r="A9" s="14" t="s">
        <v>14</v>
      </c>
      <c r="B9" s="14" t="s">
        <v>29</v>
      </c>
      <c r="C9" s="14" t="s">
        <v>13</v>
      </c>
      <c r="D9" s="14" t="s">
        <v>13</v>
      </c>
      <c r="E9" s="2">
        <v>80</v>
      </c>
      <c r="F9" s="16">
        <v>850</v>
      </c>
      <c r="G9" s="2">
        <v>68000</v>
      </c>
      <c r="H9" s="3">
        <v>633</v>
      </c>
      <c r="I9" s="3"/>
      <c r="J9" s="3">
        <v>633</v>
      </c>
      <c r="K9" s="3">
        <v>217</v>
      </c>
      <c r="L9" s="4">
        <v>50640</v>
      </c>
      <c r="M9" s="4">
        <v>17360</v>
      </c>
      <c r="N9" s="13" t="s">
        <v>39</v>
      </c>
    </row>
    <row r="10" spans="1:14" x14ac:dyDescent="0.2">
      <c r="A10" s="14" t="s">
        <v>25</v>
      </c>
      <c r="B10" s="14" t="s">
        <v>31</v>
      </c>
      <c r="C10" s="14" t="s">
        <v>34</v>
      </c>
      <c r="D10" s="14" t="s">
        <v>34</v>
      </c>
      <c r="E10" s="2">
        <v>10</v>
      </c>
      <c r="F10" s="16">
        <v>373</v>
      </c>
      <c r="G10" s="2">
        <v>3730</v>
      </c>
      <c r="H10" s="3">
        <v>293</v>
      </c>
      <c r="I10" s="3">
        <v>116</v>
      </c>
      <c r="J10" s="3">
        <v>409</v>
      </c>
      <c r="K10" s="3">
        <v>-36</v>
      </c>
      <c r="L10" s="4">
        <v>4090</v>
      </c>
      <c r="M10" s="4">
        <v>-360</v>
      </c>
      <c r="N10" s="13" t="s">
        <v>38</v>
      </c>
    </row>
    <row r="11" spans="1:14" x14ac:dyDescent="0.2">
      <c r="A11" s="14" t="s">
        <v>25</v>
      </c>
      <c r="B11" s="14" t="s">
        <v>31</v>
      </c>
      <c r="C11" s="14" t="s">
        <v>35</v>
      </c>
      <c r="D11" s="14" t="s">
        <v>35</v>
      </c>
      <c r="E11" s="2">
        <v>10</v>
      </c>
      <c r="F11" s="16">
        <v>280</v>
      </c>
      <c r="G11" s="2">
        <v>2800</v>
      </c>
      <c r="H11" s="3">
        <v>245</v>
      </c>
      <c r="I11" s="3">
        <v>60</v>
      </c>
      <c r="J11" s="3">
        <v>305</v>
      </c>
      <c r="K11" s="3">
        <v>-25</v>
      </c>
      <c r="L11" s="4">
        <v>3050</v>
      </c>
      <c r="M11" s="4">
        <v>-250</v>
      </c>
      <c r="N11" s="13" t="s">
        <v>38</v>
      </c>
    </row>
    <row r="12" spans="1:14" x14ac:dyDescent="0.2">
      <c r="A12" s="14" t="s">
        <v>25</v>
      </c>
      <c r="B12" s="14" t="s">
        <v>31</v>
      </c>
      <c r="C12" s="14" t="s">
        <v>36</v>
      </c>
      <c r="D12" s="14" t="s">
        <v>36</v>
      </c>
      <c r="E12" s="2">
        <v>10</v>
      </c>
      <c r="F12" s="16">
        <v>881</v>
      </c>
      <c r="G12" s="2">
        <v>8810</v>
      </c>
      <c r="H12" s="3">
        <v>526</v>
      </c>
      <c r="I12" s="3">
        <v>674</v>
      </c>
      <c r="J12" s="3">
        <v>1200</v>
      </c>
      <c r="K12" s="3">
        <v>-319</v>
      </c>
      <c r="L12" s="4">
        <v>12000</v>
      </c>
      <c r="M12" s="4">
        <v>-3190</v>
      </c>
      <c r="N12" s="13" t="s">
        <v>38</v>
      </c>
    </row>
  </sheetData>
  <conditionalFormatting sqref="H2:I12 K2:N12">
    <cfRule type="cellIs" dxfId="2" priority="1" operator="lessThan">
      <formula>0</formula>
    </cfRule>
  </conditionalFormatting>
  <conditionalFormatting sqref="N1:N12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2026-01-20T18:56:18Z</dcterms:modified>
  <cp:category/>
  <cp:contentStatus/>
</cp:coreProperties>
</file>