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23 SD Promotions\"/>
    </mc:Choice>
  </mc:AlternateContent>
  <xr:revisionPtr revIDLastSave="0" documentId="13_ncr:1_{60AD3039-C69B-4A94-8209-9516A819B3B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definedNames>
    <definedName name="_xlnm._FilterDatabase" localSheetId="0" hidden="1">Sheet1!$A$1:$R$51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1" l="1"/>
  <c r="R3" i="1" s="1"/>
  <c r="Q4" i="1"/>
  <c r="R4" i="1" s="1"/>
  <c r="Q5" i="1"/>
  <c r="R5" i="1" s="1"/>
  <c r="Q6" i="1"/>
  <c r="R6" i="1" s="1"/>
  <c r="Q7" i="1"/>
  <c r="R7" i="1" s="1"/>
  <c r="Q8" i="1"/>
  <c r="R8" i="1" s="1"/>
  <c r="Q9" i="1"/>
  <c r="R9" i="1" s="1"/>
  <c r="Q10" i="1"/>
  <c r="R10" i="1" s="1"/>
  <c r="Q11" i="1"/>
  <c r="R11" i="1" s="1"/>
  <c r="Q12" i="1"/>
  <c r="R12" i="1" s="1"/>
  <c r="Q13" i="1"/>
  <c r="R13" i="1" s="1"/>
  <c r="Q14" i="1"/>
  <c r="R14" i="1" s="1"/>
  <c r="Q15" i="1"/>
  <c r="R15" i="1" s="1"/>
  <c r="Q16" i="1"/>
  <c r="R16" i="1" s="1"/>
  <c r="Q17" i="1"/>
  <c r="R17" i="1" s="1"/>
  <c r="Q18" i="1"/>
  <c r="R18" i="1" s="1"/>
  <c r="Q19" i="1"/>
  <c r="R19" i="1" s="1"/>
  <c r="Q20" i="1"/>
  <c r="R20" i="1" s="1"/>
  <c r="Q21" i="1"/>
  <c r="R21" i="1" s="1"/>
  <c r="Q22" i="1"/>
  <c r="R22" i="1" s="1"/>
  <c r="Q23" i="1"/>
  <c r="R23" i="1" s="1"/>
  <c r="Q24" i="1"/>
  <c r="R24" i="1" s="1"/>
  <c r="Q25" i="1"/>
  <c r="R25" i="1" s="1"/>
  <c r="Q26" i="1"/>
  <c r="R26" i="1" s="1"/>
  <c r="Q27" i="1"/>
  <c r="R27" i="1" s="1"/>
  <c r="Q28" i="1"/>
  <c r="R28" i="1" s="1"/>
  <c r="Q29" i="1"/>
  <c r="R29" i="1" s="1"/>
  <c r="Q30" i="1"/>
  <c r="R30" i="1" s="1"/>
  <c r="Q31" i="1"/>
  <c r="R31" i="1" s="1"/>
  <c r="Q32" i="1"/>
  <c r="R32" i="1" s="1"/>
  <c r="Q33" i="1"/>
  <c r="R33" i="1" s="1"/>
  <c r="Q34" i="1"/>
  <c r="R34" i="1" s="1"/>
  <c r="Q35" i="1"/>
  <c r="R35" i="1" s="1"/>
  <c r="Q36" i="1"/>
  <c r="R36" i="1" s="1"/>
  <c r="Q37" i="1"/>
  <c r="R37" i="1" s="1"/>
  <c r="Q38" i="1"/>
  <c r="R38" i="1" s="1"/>
  <c r="Q39" i="1"/>
  <c r="R39" i="1" s="1"/>
  <c r="Q40" i="1"/>
  <c r="R40" i="1" s="1"/>
  <c r="Q41" i="1"/>
  <c r="R41" i="1" s="1"/>
  <c r="Q42" i="1"/>
  <c r="R42" i="1" s="1"/>
  <c r="Q43" i="1"/>
  <c r="R43" i="1" s="1"/>
  <c r="Q44" i="1"/>
  <c r="R44" i="1" s="1"/>
  <c r="Q45" i="1"/>
  <c r="R45" i="1" s="1"/>
  <c r="Q46" i="1"/>
  <c r="R46" i="1" s="1"/>
  <c r="Q47" i="1"/>
  <c r="R47" i="1" s="1"/>
  <c r="Q48" i="1"/>
  <c r="R48" i="1" s="1"/>
  <c r="Q49" i="1"/>
  <c r="R49" i="1" s="1"/>
  <c r="Q50" i="1"/>
  <c r="R50" i="1" s="1"/>
  <c r="Q51" i="1"/>
  <c r="R51" i="1" s="1"/>
  <c r="Q2" i="1"/>
  <c r="R2" i="1" s="1"/>
  <c r="K51" i="1"/>
  <c r="M51" i="1" s="1"/>
  <c r="K50" i="1"/>
  <c r="M50" i="1" s="1"/>
  <c r="K49" i="1"/>
  <c r="M49" i="1" s="1"/>
  <c r="K48" i="1"/>
  <c r="M48" i="1" s="1"/>
  <c r="K47" i="1"/>
  <c r="M47" i="1" s="1"/>
  <c r="K46" i="1"/>
  <c r="M46" i="1" s="1"/>
  <c r="K45" i="1"/>
  <c r="M45" i="1" s="1"/>
  <c r="K44" i="1"/>
  <c r="M44" i="1" s="1"/>
  <c r="K43" i="1"/>
  <c r="M43" i="1" s="1"/>
  <c r="K42" i="1"/>
  <c r="M42" i="1" s="1"/>
  <c r="K41" i="1"/>
  <c r="M41" i="1" s="1"/>
  <c r="K40" i="1"/>
  <c r="M40" i="1" s="1"/>
  <c r="K39" i="1"/>
  <c r="M39" i="1" s="1"/>
  <c r="K38" i="1"/>
  <c r="M38" i="1" s="1"/>
  <c r="K37" i="1"/>
  <c r="M37" i="1" s="1"/>
  <c r="K36" i="1"/>
  <c r="M36" i="1" s="1"/>
  <c r="K35" i="1"/>
  <c r="M35" i="1" s="1"/>
  <c r="K34" i="1"/>
  <c r="M34" i="1" s="1"/>
  <c r="K33" i="1"/>
  <c r="M33" i="1" s="1"/>
  <c r="K32" i="1"/>
  <c r="M32" i="1" s="1"/>
  <c r="K31" i="1"/>
  <c r="M31" i="1" s="1"/>
  <c r="K30" i="1"/>
  <c r="M30" i="1" s="1"/>
  <c r="K29" i="1"/>
  <c r="M29" i="1" s="1"/>
  <c r="K28" i="1"/>
  <c r="M28" i="1" s="1"/>
  <c r="K27" i="1"/>
  <c r="M27" i="1" s="1"/>
  <c r="K26" i="1"/>
  <c r="M26" i="1" s="1"/>
  <c r="K25" i="1"/>
  <c r="M25" i="1" s="1"/>
  <c r="K24" i="1"/>
  <c r="M24" i="1" s="1"/>
  <c r="K23" i="1"/>
  <c r="M23" i="1" s="1"/>
  <c r="K22" i="1"/>
  <c r="M22" i="1" s="1"/>
  <c r="K21" i="1"/>
  <c r="M21" i="1" s="1"/>
  <c r="K20" i="1"/>
  <c r="M20" i="1" s="1"/>
  <c r="K19" i="1"/>
  <c r="M19" i="1" s="1"/>
  <c r="K18" i="1"/>
  <c r="M18" i="1" s="1"/>
  <c r="K17" i="1"/>
  <c r="M17" i="1" s="1"/>
  <c r="K16" i="1"/>
  <c r="M16" i="1" s="1"/>
  <c r="K15" i="1"/>
  <c r="M15" i="1" s="1"/>
  <c r="K14" i="1"/>
  <c r="M14" i="1" s="1"/>
  <c r="K13" i="1"/>
  <c r="M13" i="1" s="1"/>
  <c r="K12" i="1"/>
  <c r="M12" i="1" s="1"/>
  <c r="K11" i="1"/>
  <c r="M11" i="1" s="1"/>
  <c r="K10" i="1"/>
  <c r="M10" i="1" s="1"/>
  <c r="K9" i="1"/>
  <c r="M9" i="1" s="1"/>
  <c r="K8" i="1"/>
  <c r="M8" i="1" s="1"/>
  <c r="K7" i="1"/>
  <c r="M7" i="1" s="1"/>
  <c r="K6" i="1"/>
  <c r="M6" i="1" s="1"/>
  <c r="K5" i="1"/>
  <c r="M5" i="1" s="1"/>
  <c r="K4" i="1"/>
  <c r="M4" i="1" s="1"/>
  <c r="K3" i="1"/>
  <c r="M3" i="1" s="1"/>
  <c r="K2" i="1"/>
  <c r="M2" i="1" s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<sst xmlns="http://schemas.openxmlformats.org/spreadsheetml/2006/main" count="318" uniqueCount="90">
  <si>
    <t>Condition Document No</t>
  </si>
  <si>
    <t>Condition Text</t>
  </si>
  <si>
    <t>Group Condition Document No</t>
  </si>
  <si>
    <t>Customer Text</t>
  </si>
  <si>
    <t>Product</t>
  </si>
  <si>
    <t>Product Text</t>
  </si>
  <si>
    <t>Start Date of Condition</t>
  </si>
  <si>
    <t>End Date of Condition</t>
  </si>
  <si>
    <t>G-S24-ULTRA</t>
  </si>
  <si>
    <t>G-S25</t>
  </si>
  <si>
    <t>G-S25-ULTRA</t>
  </si>
  <si>
    <t>VITEL MOBILE, INC.</t>
  </si>
  <si>
    <t>SM-X520NLBATPA</t>
  </si>
  <si>
    <t>TABLET,SM-X520,LIGHT BLUE,TPA</t>
  </si>
  <si>
    <t>SM-X520NZAATPA</t>
  </si>
  <si>
    <t>TABLET,SM-X520,GRAY,TPA</t>
  </si>
  <si>
    <t>SM-X520NZSATPA</t>
  </si>
  <si>
    <t>TABLET,SM-X520,SILVER,TPA</t>
  </si>
  <si>
    <t>SM-X526BLBATPA</t>
  </si>
  <si>
    <t>TABLET,SM-X526B,LIGHT BLUE,TPA</t>
  </si>
  <si>
    <t>SM-X526BZAATPA</t>
  </si>
  <si>
    <t>TABLET,SM-X526B,GRAY,TPA</t>
  </si>
  <si>
    <t>SM-X526BZSATPA</t>
  </si>
  <si>
    <t>TABLET,SM-X526B,SILVER,TPA</t>
  </si>
  <si>
    <t>SM-X620NLBATPA</t>
  </si>
  <si>
    <t>TABLET,SM-X620,LIGHT BLUE,TPA</t>
  </si>
  <si>
    <t>SM-X620NZAATPA</t>
  </si>
  <si>
    <t>TABLET,SM-X620,GRAY,TPA</t>
  </si>
  <si>
    <t>SM-X620NZSATPA</t>
  </si>
  <si>
    <t>TABLET,SM-X620,SILVER,TPA</t>
  </si>
  <si>
    <t>SM-X626BZAATPA</t>
  </si>
  <si>
    <t>TABLET,SM-X626B,GRAY,TPA</t>
  </si>
  <si>
    <t>G-A06</t>
  </si>
  <si>
    <t>G-S24</t>
  </si>
  <si>
    <t>G-S24+</t>
  </si>
  <si>
    <t>SM-M556BLGMTPA</t>
  </si>
  <si>
    <t>MOBILE,SM-M556B/DS,LIGHT GREEN,TPA</t>
  </si>
  <si>
    <t>SM-M556BZKMTPA</t>
  </si>
  <si>
    <t>MOBILE,SM-M556B/DS,BLACK,TPA</t>
  </si>
  <si>
    <t>G-A16</t>
  </si>
  <si>
    <t>G-A16-5G</t>
  </si>
  <si>
    <t>G-A26-5G</t>
  </si>
  <si>
    <t>G-A36-5G</t>
  </si>
  <si>
    <t>G-A56-5G</t>
  </si>
  <si>
    <t>G-S25+</t>
  </si>
  <si>
    <t>SM-X820NZADTPA</t>
  </si>
  <si>
    <t>TABLET,SM-X820,GRAY,TPA</t>
  </si>
  <si>
    <t>SM-X820NZSDTPA</t>
  </si>
  <si>
    <t>TABLET,SM-X820,SILVER,TPA</t>
  </si>
  <si>
    <t>SM-X920NZADTPA</t>
  </si>
  <si>
    <t>TABLET,SM-X920,GRAY,TPA</t>
  </si>
  <si>
    <t>SM-X920NZSDTPA</t>
  </si>
  <si>
    <t>TABLET,SM-X920,SILVER,TPA</t>
  </si>
  <si>
    <t>SM-X520NZSETPA</t>
  </si>
  <si>
    <t>A2S3A0A250000205</t>
  </si>
  <si>
    <t>G-WATCH-ULTRA</t>
  </si>
  <si>
    <t>A0S3A0A250000581</t>
  </si>
  <si>
    <t>VITEL W21-W23 Watch Ultra Sell-Thru Promotion</t>
  </si>
  <si>
    <t>A0S3A0A250000588</t>
  </si>
  <si>
    <t>VITEL W21-W23 MX Sell-Thru Promotion</t>
  </si>
  <si>
    <t>A2S3A0A250000203</t>
  </si>
  <si>
    <t>A2S3A0A250000202</t>
  </si>
  <si>
    <t>G-TAB-A9</t>
  </si>
  <si>
    <t>G-TAB-A9+</t>
  </si>
  <si>
    <t>A0S3A0A250000593</t>
  </si>
  <si>
    <t>VITEL W21-W23 Tab A9 Series Promotion</t>
  </si>
  <si>
    <t>A2S3A0A250000201</t>
  </si>
  <si>
    <t>A0S3A0A250000600</t>
  </si>
  <si>
    <t>VITEL W21-W23 Galaxy Tab S10 Ultra / Tab S10+ ST Promo</t>
  </si>
  <si>
    <t>A2S3A0A250000215</t>
  </si>
  <si>
    <t>A0S3A0A250000615</t>
  </si>
  <si>
    <t>VITEL W23 NRM Sell-Thru Promotion</t>
  </si>
  <si>
    <t>A2S3A0A250000217</t>
  </si>
  <si>
    <t>SM-X520NLBETPA</t>
  </si>
  <si>
    <t>SM-X520NZAETPA</t>
  </si>
  <si>
    <t>SM-X620NLBETPA</t>
  </si>
  <si>
    <t>SM-X620NZAETPA</t>
  </si>
  <si>
    <t>SM-X620NZSETPA</t>
  </si>
  <si>
    <t>A0S3A0A250000622</t>
  </si>
  <si>
    <t>VITEL W23 Galaxy Tab S10 FE Series ST Promo</t>
  </si>
  <si>
    <t>Incentive</t>
  </si>
  <si>
    <t>AS-IS Quantity</t>
  </si>
  <si>
    <t>AS-IS Amt($)</t>
  </si>
  <si>
    <t>TO-BE Quantity</t>
  </si>
  <si>
    <t>TO-BE Amt($)</t>
  </si>
  <si>
    <t>DELTA Quantity</t>
  </si>
  <si>
    <t>DELTA Amt($)</t>
  </si>
  <si>
    <t>Review</t>
  </si>
  <si>
    <t>money difference</t>
  </si>
  <si>
    <t>Quantity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</si>
</sst>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8" fontId="0" fillId="3" borderId="1" xfId="0" applyNumberFormat="1" applyFill="1" applyBorder="1"/>
    <xf numFmtId="4" fontId="0" fillId="4" borderId="1" xfId="0" applyNumberFormat="1" applyFill="1" applyBorder="1"/>
    <xf numFmtId="8" fontId="0" fillId="4" borderId="1" xfId="0" applyNumberFormat="1" applyFill="1" applyBorder="1"/>
    <xf numFmtId="1" fontId="1" fillId="2" borderId="1" xfId="0" applyNumberFormat="1" applyFont="1" applyFill="1" applyBorder="1"/>
    <xf numFmtId="1" fontId="0" fillId="3" borderId="1" xfId="0" applyNumberFormat="1" applyFill="1" applyBorder="1"/>
    <xf numFmtId="1" fontId="0" fillId="0" borderId="0" xfId="0" applyNumberFormat="1"/>
    <xf numFmtId="1" fontId="0" fillId="4" borderId="1" xfId="0" applyNumberFormat="1" applyFill="1" applyBorder="1"/>
    <xf numFmtId="0" fontId="1" fillId="2" borderId="2" xfId="0" applyFont="1" applyFill="1" applyBorder="1"/>
    <xf numFmtId="0" fontId="1" fillId="2" borderId="3" xfId="0" applyFont="1" applyFill="1" applyBorder="1"/>
    <xf numFmtId="1" fontId="0" fillId="0" borderId="1" xfId="0" applyNumberFormat="1" applyBorder="1"/>
    <xf numFmtId="8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showGridLines="0" tabSelected="1" zoomScale="115" zoomScaleNormal="115" workbookViewId="0">
      <pane ySplit="1" topLeftCell="A2" activePane="bottomLeft" state="frozen"/>
      <selection pane="bottomLeft" activeCell="O2" sqref="O2"/>
    </sheetView>
  </sheetViews>
  <sheetFormatPr defaultRowHeight="12.75" x14ac:dyDescent="0.2"/>
  <cols>
    <col min="1" max="1" width="22.42578125" bestFit="1" customWidth="1"/>
    <col min="2" max="2" width="57.5703125" bestFit="1" customWidth="1"/>
    <col min="3" max="3" width="28" bestFit="1" customWidth="1"/>
    <col min="4" max="4" width="32.7109375" bestFit="1" customWidth="1"/>
    <col min="5" max="5" width="16.140625" bestFit="1" customWidth="1"/>
    <col min="6" max="6" width="33" bestFit="1" customWidth="1"/>
    <col min="7" max="7" width="10.42578125" bestFit="1" customWidth="1"/>
    <col min="8" max="8" width="16.28515625" style="9" bestFit="1" customWidth="1"/>
    <col min="9" max="9" width="14.7109375" bestFit="1" customWidth="1"/>
    <col min="10" max="10" width="16.28515625" style="9" bestFit="1" customWidth="1"/>
    <col min="11" max="11" width="14.7109375" bestFit="1" customWidth="1"/>
    <col min="12" max="12" width="16.28515625" bestFit="1" customWidth="1"/>
    <col min="13" max="13" width="14.7109375" bestFit="1" customWidth="1"/>
    <col min="14" max="14" width="21.5703125" bestFit="1" customWidth="1"/>
    <col min="15" max="15" width="20.5703125" bestFit="1" customWidth="1"/>
    <col min="16" max="16" width="20.5703125" style="9" bestFit="1" customWidth="1"/>
    <col min="17" max="17" width="16.42578125" bestFit="1" customWidth="1"/>
    <col min="18" max="18" width="1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80</v>
      </c>
      <c r="H1" s="7" t="s">
        <v>81</v>
      </c>
      <c r="I1" s="1" t="s">
        <v>82</v>
      </c>
      <c r="J1" s="7" t="s">
        <v>83</v>
      </c>
      <c r="K1" s="1" t="s">
        <v>84</v>
      </c>
      <c r="L1" s="1" t="s">
        <v>85</v>
      </c>
      <c r="M1" s="1" t="s">
        <v>86</v>
      </c>
      <c r="N1" s="1" t="s">
        <v>6</v>
      </c>
      <c r="O1" s="1" t="s">
        <v>7</v>
      </c>
      <c r="P1" s="12" t="s">
        <v>87</v>
      </c>
      <c r="Q1" s="11" t="s">
        <v>89</v>
      </c>
      <c r="R1" s="11" t="s">
        <v>88</v>
      </c>
    </row>
    <row r="2" spans="1:18" x14ac:dyDescent="0.2">
      <c r="A2" s="2" t="s">
        <v>56</v>
      </c>
      <c r="B2" s="2" t="s">
        <v>57</v>
      </c>
      <c r="C2" s="2" t="s">
        <v>54</v>
      </c>
      <c r="D2" s="2" t="s">
        <v>11</v>
      </c>
      <c r="E2" s="2" t="s">
        <v>55</v>
      </c>
      <c r="F2" s="2" t="s">
        <v>55</v>
      </c>
      <c r="G2" s="6">
        <v>30</v>
      </c>
      <c r="H2" s="10">
        <v>475</v>
      </c>
      <c r="I2" s="6">
        <v>14250</v>
      </c>
      <c r="J2" s="8">
        <v>357</v>
      </c>
      <c r="K2" s="4">
        <f t="shared" ref="K2:K16" si="0">J2*G2</f>
        <v>10710</v>
      </c>
      <c r="L2" s="5">
        <f t="shared" ref="L2:L16" si="1">J2-H2</f>
        <v>-118</v>
      </c>
      <c r="M2" s="6">
        <f t="shared" ref="M2:M16" si="2">K2-I2</f>
        <v>-3540</v>
      </c>
      <c r="N2" s="3">
        <v>45796</v>
      </c>
      <c r="O2" s="3">
        <v>45816</v>
      </c>
      <c r="P2" s="8">
        <v>344</v>
      </c>
      <c r="Q2" s="13">
        <f>J2-P2</f>
        <v>13</v>
      </c>
      <c r="R2" s="14">
        <f>G2*Q2</f>
        <v>390</v>
      </c>
    </row>
    <row r="3" spans="1:18" x14ac:dyDescent="0.2">
      <c r="A3" s="2" t="s">
        <v>58</v>
      </c>
      <c r="B3" s="2" t="s">
        <v>59</v>
      </c>
      <c r="C3" s="2" t="s">
        <v>60</v>
      </c>
      <c r="D3" s="2" t="s">
        <v>11</v>
      </c>
      <c r="E3" s="2" t="s">
        <v>32</v>
      </c>
      <c r="F3" s="2" t="s">
        <v>32</v>
      </c>
      <c r="G3" s="6">
        <v>10</v>
      </c>
      <c r="H3" s="10">
        <v>515</v>
      </c>
      <c r="I3" s="6">
        <v>5150</v>
      </c>
      <c r="J3" s="8">
        <v>1240</v>
      </c>
      <c r="K3" s="4">
        <f t="shared" si="0"/>
        <v>12400</v>
      </c>
      <c r="L3" s="5">
        <f t="shared" si="1"/>
        <v>725</v>
      </c>
      <c r="M3" s="6">
        <f t="shared" si="2"/>
        <v>7250</v>
      </c>
      <c r="N3" s="3">
        <v>45796</v>
      </c>
      <c r="O3" s="3">
        <v>45816</v>
      </c>
      <c r="P3" s="8">
        <v>1240</v>
      </c>
      <c r="Q3" s="13">
        <f t="shared" ref="Q3:Q51" si="3">J3-P3</f>
        <v>0</v>
      </c>
      <c r="R3" s="14">
        <f t="shared" ref="R3:R51" si="4">G3*Q3</f>
        <v>0</v>
      </c>
    </row>
    <row r="4" spans="1:18" x14ac:dyDescent="0.2">
      <c r="A4" s="2" t="s">
        <v>58</v>
      </c>
      <c r="B4" s="2" t="s">
        <v>59</v>
      </c>
      <c r="C4" s="2" t="s">
        <v>60</v>
      </c>
      <c r="D4" s="2" t="s">
        <v>11</v>
      </c>
      <c r="E4" s="2" t="s">
        <v>39</v>
      </c>
      <c r="F4" s="2" t="s">
        <v>39</v>
      </c>
      <c r="G4" s="6">
        <v>10</v>
      </c>
      <c r="H4" s="10">
        <v>547</v>
      </c>
      <c r="I4" s="6">
        <v>5470</v>
      </c>
      <c r="J4" s="8">
        <v>3318</v>
      </c>
      <c r="K4" s="4">
        <f t="shared" si="0"/>
        <v>33180</v>
      </c>
      <c r="L4" s="5">
        <f t="shared" si="1"/>
        <v>2771</v>
      </c>
      <c r="M4" s="6">
        <f t="shared" si="2"/>
        <v>27710</v>
      </c>
      <c r="N4" s="3">
        <v>45796</v>
      </c>
      <c r="O4" s="3">
        <v>45816</v>
      </c>
      <c r="P4" s="8">
        <v>3318</v>
      </c>
      <c r="Q4" s="13">
        <f t="shared" si="3"/>
        <v>0</v>
      </c>
      <c r="R4" s="14">
        <f t="shared" si="4"/>
        <v>0</v>
      </c>
    </row>
    <row r="5" spans="1:18" x14ac:dyDescent="0.2">
      <c r="A5" s="2" t="s">
        <v>58</v>
      </c>
      <c r="B5" s="2" t="s">
        <v>59</v>
      </c>
      <c r="C5" s="2" t="s">
        <v>60</v>
      </c>
      <c r="D5" s="2" t="s">
        <v>11</v>
      </c>
      <c r="E5" s="2" t="s">
        <v>40</v>
      </c>
      <c r="F5" s="2" t="s">
        <v>40</v>
      </c>
      <c r="G5" s="6">
        <v>5</v>
      </c>
      <c r="H5" s="10">
        <v>81</v>
      </c>
      <c r="I5" s="6">
        <v>405</v>
      </c>
      <c r="J5" s="8">
        <v>0</v>
      </c>
      <c r="K5" s="4">
        <f t="shared" si="0"/>
        <v>0</v>
      </c>
      <c r="L5" s="5">
        <f t="shared" si="1"/>
        <v>-81</v>
      </c>
      <c r="M5" s="6">
        <f t="shared" si="2"/>
        <v>-405</v>
      </c>
      <c r="N5" s="3">
        <v>45796</v>
      </c>
      <c r="O5" s="3">
        <v>45816</v>
      </c>
      <c r="P5" s="8">
        <v>0</v>
      </c>
      <c r="Q5" s="13">
        <f t="shared" si="3"/>
        <v>0</v>
      </c>
      <c r="R5" s="14">
        <f t="shared" si="4"/>
        <v>0</v>
      </c>
    </row>
    <row r="6" spans="1:18" x14ac:dyDescent="0.2">
      <c r="A6" s="2" t="s">
        <v>58</v>
      </c>
      <c r="B6" s="2" t="s">
        <v>59</v>
      </c>
      <c r="C6" s="2" t="s">
        <v>60</v>
      </c>
      <c r="D6" s="2" t="s">
        <v>11</v>
      </c>
      <c r="E6" s="2" t="s">
        <v>41</v>
      </c>
      <c r="F6" s="2" t="s">
        <v>41</v>
      </c>
      <c r="G6" s="6">
        <v>20</v>
      </c>
      <c r="H6" s="10">
        <v>158</v>
      </c>
      <c r="I6" s="6">
        <v>3160</v>
      </c>
      <c r="J6" s="8">
        <v>1003</v>
      </c>
      <c r="K6" s="4">
        <f t="shared" si="0"/>
        <v>20060</v>
      </c>
      <c r="L6" s="5">
        <f t="shared" si="1"/>
        <v>845</v>
      </c>
      <c r="M6" s="6">
        <f t="shared" si="2"/>
        <v>16900</v>
      </c>
      <c r="N6" s="3">
        <v>45796</v>
      </c>
      <c r="O6" s="3">
        <v>45816</v>
      </c>
      <c r="P6" s="8">
        <v>803</v>
      </c>
      <c r="Q6" s="13">
        <f t="shared" si="3"/>
        <v>200</v>
      </c>
      <c r="R6" s="14">
        <f t="shared" si="4"/>
        <v>4000</v>
      </c>
    </row>
    <row r="7" spans="1:18" x14ac:dyDescent="0.2">
      <c r="A7" s="2" t="s">
        <v>58</v>
      </c>
      <c r="B7" s="2" t="s">
        <v>59</v>
      </c>
      <c r="C7" s="2" t="s">
        <v>60</v>
      </c>
      <c r="D7" s="2" t="s">
        <v>11</v>
      </c>
      <c r="E7" s="2" t="s">
        <v>42</v>
      </c>
      <c r="F7" s="2" t="s">
        <v>42</v>
      </c>
      <c r="G7" s="6">
        <v>10</v>
      </c>
      <c r="H7" s="10">
        <v>230</v>
      </c>
      <c r="I7" s="6">
        <v>2300</v>
      </c>
      <c r="J7" s="8">
        <v>860</v>
      </c>
      <c r="K7" s="4">
        <f t="shared" si="0"/>
        <v>8600</v>
      </c>
      <c r="L7" s="5">
        <f t="shared" si="1"/>
        <v>630</v>
      </c>
      <c r="M7" s="6">
        <f t="shared" si="2"/>
        <v>6300</v>
      </c>
      <c r="N7" s="3">
        <v>45796</v>
      </c>
      <c r="O7" s="3">
        <v>45816</v>
      </c>
      <c r="P7" s="8">
        <v>860</v>
      </c>
      <c r="Q7" s="13">
        <f t="shared" si="3"/>
        <v>0</v>
      </c>
      <c r="R7" s="14">
        <f t="shared" si="4"/>
        <v>0</v>
      </c>
    </row>
    <row r="8" spans="1:18" x14ac:dyDescent="0.2">
      <c r="A8" s="2" t="s">
        <v>58</v>
      </c>
      <c r="B8" s="2" t="s">
        <v>59</v>
      </c>
      <c r="C8" s="2" t="s">
        <v>60</v>
      </c>
      <c r="D8" s="2" t="s">
        <v>11</v>
      </c>
      <c r="E8" s="2" t="s">
        <v>43</v>
      </c>
      <c r="F8" s="2" t="s">
        <v>43</v>
      </c>
      <c r="G8" s="6">
        <v>10</v>
      </c>
      <c r="H8" s="10">
        <v>165</v>
      </c>
      <c r="I8" s="6">
        <v>1650</v>
      </c>
      <c r="J8" s="8">
        <v>77</v>
      </c>
      <c r="K8" s="4">
        <f t="shared" si="0"/>
        <v>770</v>
      </c>
      <c r="L8" s="5">
        <f t="shared" si="1"/>
        <v>-88</v>
      </c>
      <c r="M8" s="6">
        <f t="shared" si="2"/>
        <v>-880</v>
      </c>
      <c r="N8" s="3">
        <v>45796</v>
      </c>
      <c r="O8" s="3">
        <v>45816</v>
      </c>
      <c r="P8" s="8">
        <v>7</v>
      </c>
      <c r="Q8" s="13">
        <f t="shared" si="3"/>
        <v>70</v>
      </c>
      <c r="R8" s="14">
        <f t="shared" si="4"/>
        <v>700</v>
      </c>
    </row>
    <row r="9" spans="1:18" x14ac:dyDescent="0.2">
      <c r="A9" s="2" t="s">
        <v>58</v>
      </c>
      <c r="B9" s="2" t="s">
        <v>59</v>
      </c>
      <c r="C9" s="2" t="s">
        <v>60</v>
      </c>
      <c r="D9" s="2" t="s">
        <v>11</v>
      </c>
      <c r="E9" s="2" t="s">
        <v>33</v>
      </c>
      <c r="F9" s="2" t="s">
        <v>33</v>
      </c>
      <c r="G9" s="6">
        <v>10</v>
      </c>
      <c r="H9" s="10">
        <v>40</v>
      </c>
      <c r="I9" s="6">
        <v>400</v>
      </c>
      <c r="J9" s="8">
        <v>0</v>
      </c>
      <c r="K9" s="4">
        <f t="shared" si="0"/>
        <v>0</v>
      </c>
      <c r="L9" s="5">
        <f t="shared" si="1"/>
        <v>-40</v>
      </c>
      <c r="M9" s="6">
        <f t="shared" si="2"/>
        <v>-400</v>
      </c>
      <c r="N9" s="3">
        <v>45796</v>
      </c>
      <c r="O9" s="3">
        <v>45816</v>
      </c>
      <c r="P9" s="8">
        <v>0</v>
      </c>
      <c r="Q9" s="13">
        <f t="shared" si="3"/>
        <v>0</v>
      </c>
      <c r="R9" s="14">
        <f t="shared" si="4"/>
        <v>0</v>
      </c>
    </row>
    <row r="10" spans="1:18" x14ac:dyDescent="0.2">
      <c r="A10" s="2" t="s">
        <v>58</v>
      </c>
      <c r="B10" s="2" t="s">
        <v>59</v>
      </c>
      <c r="C10" s="2" t="s">
        <v>60</v>
      </c>
      <c r="D10" s="2" t="s">
        <v>11</v>
      </c>
      <c r="E10" s="2" t="s">
        <v>34</v>
      </c>
      <c r="F10" s="2" t="s">
        <v>34</v>
      </c>
      <c r="G10" s="6">
        <v>10</v>
      </c>
      <c r="H10" s="10">
        <v>158</v>
      </c>
      <c r="I10" s="6">
        <v>1580</v>
      </c>
      <c r="J10" s="8">
        <v>0</v>
      </c>
      <c r="K10" s="4">
        <f t="shared" si="0"/>
        <v>0</v>
      </c>
      <c r="L10" s="5">
        <f t="shared" si="1"/>
        <v>-158</v>
      </c>
      <c r="M10" s="6">
        <f t="shared" si="2"/>
        <v>-1580</v>
      </c>
      <c r="N10" s="3">
        <v>45796</v>
      </c>
      <c r="O10" s="3">
        <v>45816</v>
      </c>
      <c r="P10" s="8">
        <v>0</v>
      </c>
      <c r="Q10" s="13">
        <f t="shared" si="3"/>
        <v>0</v>
      </c>
      <c r="R10" s="14">
        <f t="shared" si="4"/>
        <v>0</v>
      </c>
    </row>
    <row r="11" spans="1:18" x14ac:dyDescent="0.2">
      <c r="A11" s="2" t="s">
        <v>58</v>
      </c>
      <c r="B11" s="2" t="s">
        <v>59</v>
      </c>
      <c r="C11" s="2" t="s">
        <v>60</v>
      </c>
      <c r="D11" s="2" t="s">
        <v>11</v>
      </c>
      <c r="E11" s="2" t="s">
        <v>8</v>
      </c>
      <c r="F11" s="2" t="s">
        <v>8</v>
      </c>
      <c r="G11" s="6">
        <v>30</v>
      </c>
      <c r="H11" s="10">
        <v>165</v>
      </c>
      <c r="I11" s="6">
        <v>4950</v>
      </c>
      <c r="J11" s="8">
        <v>420</v>
      </c>
      <c r="K11" s="4">
        <f t="shared" si="0"/>
        <v>12600</v>
      </c>
      <c r="L11" s="5">
        <f t="shared" si="1"/>
        <v>255</v>
      </c>
      <c r="M11" s="6">
        <f t="shared" si="2"/>
        <v>7650</v>
      </c>
      <c r="N11" s="3">
        <v>45796</v>
      </c>
      <c r="O11" s="3">
        <v>45816</v>
      </c>
      <c r="P11" s="8">
        <v>385</v>
      </c>
      <c r="Q11" s="13">
        <f t="shared" si="3"/>
        <v>35</v>
      </c>
      <c r="R11" s="14">
        <f t="shared" si="4"/>
        <v>1050</v>
      </c>
    </row>
    <row r="12" spans="1:18" x14ac:dyDescent="0.2">
      <c r="A12" s="2" t="s">
        <v>58</v>
      </c>
      <c r="B12" s="2" t="s">
        <v>59</v>
      </c>
      <c r="C12" s="2" t="s">
        <v>60</v>
      </c>
      <c r="D12" s="2" t="s">
        <v>11</v>
      </c>
      <c r="E12" s="2" t="s">
        <v>9</v>
      </c>
      <c r="F12" s="2" t="s">
        <v>9</v>
      </c>
      <c r="G12" s="6">
        <v>30</v>
      </c>
      <c r="H12" s="10">
        <v>122</v>
      </c>
      <c r="I12" s="6">
        <v>3660</v>
      </c>
      <c r="J12" s="8">
        <v>0</v>
      </c>
      <c r="K12" s="4">
        <f t="shared" si="0"/>
        <v>0</v>
      </c>
      <c r="L12" s="5">
        <f t="shared" si="1"/>
        <v>-122</v>
      </c>
      <c r="M12" s="6">
        <f t="shared" si="2"/>
        <v>-3660</v>
      </c>
      <c r="N12" s="3">
        <v>45796</v>
      </c>
      <c r="O12" s="3">
        <v>45816</v>
      </c>
      <c r="P12" s="8">
        <v>0</v>
      </c>
      <c r="Q12" s="13">
        <f t="shared" si="3"/>
        <v>0</v>
      </c>
      <c r="R12" s="14">
        <f t="shared" si="4"/>
        <v>0</v>
      </c>
    </row>
    <row r="13" spans="1:18" x14ac:dyDescent="0.2">
      <c r="A13" s="2" t="s">
        <v>58</v>
      </c>
      <c r="B13" s="2" t="s">
        <v>59</v>
      </c>
      <c r="C13" s="2" t="s">
        <v>60</v>
      </c>
      <c r="D13" s="2" t="s">
        <v>11</v>
      </c>
      <c r="E13" s="2" t="s">
        <v>44</v>
      </c>
      <c r="F13" s="2" t="s">
        <v>44</v>
      </c>
      <c r="G13" s="6">
        <v>30</v>
      </c>
      <c r="H13" s="10">
        <v>24</v>
      </c>
      <c r="I13" s="6">
        <v>720</v>
      </c>
      <c r="J13" s="8">
        <v>20</v>
      </c>
      <c r="K13" s="4">
        <f t="shared" si="0"/>
        <v>600</v>
      </c>
      <c r="L13" s="5">
        <f t="shared" si="1"/>
        <v>-4</v>
      </c>
      <c r="M13" s="6">
        <f t="shared" si="2"/>
        <v>-120</v>
      </c>
      <c r="N13" s="3">
        <v>45796</v>
      </c>
      <c r="O13" s="3">
        <v>45816</v>
      </c>
      <c r="P13" s="8">
        <v>20</v>
      </c>
      <c r="Q13" s="13">
        <f t="shared" si="3"/>
        <v>0</v>
      </c>
      <c r="R13" s="14">
        <f t="shared" si="4"/>
        <v>0</v>
      </c>
    </row>
    <row r="14" spans="1:18" x14ac:dyDescent="0.2">
      <c r="A14" s="2" t="s">
        <v>58</v>
      </c>
      <c r="B14" s="2" t="s">
        <v>59</v>
      </c>
      <c r="C14" s="2" t="s">
        <v>60</v>
      </c>
      <c r="D14" s="2" t="s">
        <v>11</v>
      </c>
      <c r="E14" s="2" t="s">
        <v>10</v>
      </c>
      <c r="F14" s="2" t="s">
        <v>10</v>
      </c>
      <c r="G14" s="6">
        <v>30</v>
      </c>
      <c r="H14" s="10">
        <v>97</v>
      </c>
      <c r="I14" s="6">
        <v>2910</v>
      </c>
      <c r="J14" s="8">
        <v>491</v>
      </c>
      <c r="K14" s="4">
        <f t="shared" si="0"/>
        <v>14730</v>
      </c>
      <c r="L14" s="5">
        <f t="shared" si="1"/>
        <v>394</v>
      </c>
      <c r="M14" s="6">
        <f t="shared" si="2"/>
        <v>11820</v>
      </c>
      <c r="N14" s="3">
        <v>45796</v>
      </c>
      <c r="O14" s="3">
        <v>45816</v>
      </c>
      <c r="P14" s="8">
        <v>491</v>
      </c>
      <c r="Q14" s="13">
        <f t="shared" si="3"/>
        <v>0</v>
      </c>
      <c r="R14" s="14">
        <f t="shared" si="4"/>
        <v>0</v>
      </c>
    </row>
    <row r="15" spans="1:18" x14ac:dyDescent="0.2">
      <c r="A15" s="2" t="s">
        <v>58</v>
      </c>
      <c r="B15" s="2" t="s">
        <v>59</v>
      </c>
      <c r="C15" s="2" t="s">
        <v>60</v>
      </c>
      <c r="D15" s="2" t="s">
        <v>11</v>
      </c>
      <c r="E15" s="2" t="s">
        <v>35</v>
      </c>
      <c r="F15" s="2" t="s">
        <v>36</v>
      </c>
      <c r="G15" s="6">
        <v>7</v>
      </c>
      <c r="H15" s="10">
        <v>31</v>
      </c>
      <c r="I15" s="6">
        <v>217</v>
      </c>
      <c r="J15" s="8">
        <v>0</v>
      </c>
      <c r="K15" s="4">
        <f t="shared" si="0"/>
        <v>0</v>
      </c>
      <c r="L15" s="5">
        <f t="shared" si="1"/>
        <v>-31</v>
      </c>
      <c r="M15" s="6">
        <f t="shared" si="2"/>
        <v>-217</v>
      </c>
      <c r="N15" s="3">
        <v>45796</v>
      </c>
      <c r="O15" s="3">
        <v>45816</v>
      </c>
      <c r="P15" s="8">
        <v>0</v>
      </c>
      <c r="Q15" s="13">
        <f t="shared" si="3"/>
        <v>0</v>
      </c>
      <c r="R15" s="14">
        <f t="shared" si="4"/>
        <v>0</v>
      </c>
    </row>
    <row r="16" spans="1:18" x14ac:dyDescent="0.2">
      <c r="A16" s="2" t="s">
        <v>58</v>
      </c>
      <c r="B16" s="2" t="s">
        <v>59</v>
      </c>
      <c r="C16" s="2" t="s">
        <v>60</v>
      </c>
      <c r="D16" s="2" t="s">
        <v>11</v>
      </c>
      <c r="E16" s="2" t="s">
        <v>37</v>
      </c>
      <c r="F16" s="2" t="s">
        <v>38</v>
      </c>
      <c r="G16" s="6">
        <v>7</v>
      </c>
      <c r="H16" s="10">
        <v>35</v>
      </c>
      <c r="I16" s="6">
        <v>245</v>
      </c>
      <c r="J16" s="8">
        <v>0</v>
      </c>
      <c r="K16" s="4">
        <f t="shared" si="0"/>
        <v>0</v>
      </c>
      <c r="L16" s="5">
        <f t="shared" si="1"/>
        <v>-35</v>
      </c>
      <c r="M16" s="6">
        <f t="shared" si="2"/>
        <v>-245</v>
      </c>
      <c r="N16" s="3">
        <v>45796</v>
      </c>
      <c r="O16" s="3">
        <v>45816</v>
      </c>
      <c r="P16" s="8">
        <v>0</v>
      </c>
      <c r="Q16" s="13">
        <f t="shared" si="3"/>
        <v>0</v>
      </c>
      <c r="R16" s="14">
        <f t="shared" si="4"/>
        <v>0</v>
      </c>
    </row>
    <row r="17" spans="1:18" x14ac:dyDescent="0.2">
      <c r="A17" s="2" t="s">
        <v>64</v>
      </c>
      <c r="B17" s="2" t="s">
        <v>65</v>
      </c>
      <c r="C17" s="2" t="s">
        <v>61</v>
      </c>
      <c r="D17" s="2" t="s">
        <v>11</v>
      </c>
      <c r="E17" s="2" t="s">
        <v>62</v>
      </c>
      <c r="F17" s="2" t="s">
        <v>62</v>
      </c>
      <c r="G17" s="6">
        <v>15</v>
      </c>
      <c r="H17" s="10">
        <v>322</v>
      </c>
      <c r="I17" s="6">
        <v>4830</v>
      </c>
      <c r="J17" s="8">
        <v>1570</v>
      </c>
      <c r="K17" s="4">
        <f t="shared" ref="K17:K22" si="5">J17*G17</f>
        <v>23550</v>
      </c>
      <c r="L17" s="5">
        <f t="shared" ref="L17:L22" si="6">J17-H17</f>
        <v>1248</v>
      </c>
      <c r="M17" s="6">
        <f t="shared" ref="M17:M22" si="7">K17-I17</f>
        <v>18720</v>
      </c>
      <c r="N17" s="3">
        <v>45796</v>
      </c>
      <c r="O17" s="3">
        <v>45816</v>
      </c>
      <c r="P17" s="8">
        <v>1020</v>
      </c>
      <c r="Q17" s="13">
        <f t="shared" si="3"/>
        <v>550</v>
      </c>
      <c r="R17" s="14">
        <f t="shared" si="4"/>
        <v>8250</v>
      </c>
    </row>
    <row r="18" spans="1:18" x14ac:dyDescent="0.2">
      <c r="A18" s="2" t="s">
        <v>64</v>
      </c>
      <c r="B18" s="2" t="s">
        <v>65</v>
      </c>
      <c r="C18" s="2" t="s">
        <v>61</v>
      </c>
      <c r="D18" s="2" t="s">
        <v>11</v>
      </c>
      <c r="E18" s="2" t="s">
        <v>63</v>
      </c>
      <c r="F18" s="2" t="s">
        <v>63</v>
      </c>
      <c r="G18" s="6">
        <v>15</v>
      </c>
      <c r="H18" s="10">
        <v>452</v>
      </c>
      <c r="I18" s="6">
        <v>6780</v>
      </c>
      <c r="J18" s="8">
        <v>1490</v>
      </c>
      <c r="K18" s="4">
        <f t="shared" si="5"/>
        <v>22350</v>
      </c>
      <c r="L18" s="5">
        <f t="shared" si="6"/>
        <v>1038</v>
      </c>
      <c r="M18" s="6">
        <f t="shared" si="7"/>
        <v>15570</v>
      </c>
      <c r="N18" s="3">
        <v>45796</v>
      </c>
      <c r="O18" s="3">
        <v>45816</v>
      </c>
      <c r="P18" s="8">
        <v>1410</v>
      </c>
      <c r="Q18" s="13">
        <f t="shared" si="3"/>
        <v>80</v>
      </c>
      <c r="R18" s="14">
        <f t="shared" si="4"/>
        <v>1200</v>
      </c>
    </row>
    <row r="19" spans="1:18" x14ac:dyDescent="0.2">
      <c r="A19" s="2" t="s">
        <v>67</v>
      </c>
      <c r="B19" s="2" t="s">
        <v>68</v>
      </c>
      <c r="C19" s="2" t="s">
        <v>66</v>
      </c>
      <c r="D19" s="2" t="s">
        <v>11</v>
      </c>
      <c r="E19" s="2" t="s">
        <v>45</v>
      </c>
      <c r="F19" s="2" t="s">
        <v>46</v>
      </c>
      <c r="G19" s="6">
        <v>30</v>
      </c>
      <c r="H19" s="10">
        <v>150</v>
      </c>
      <c r="I19" s="6">
        <v>4500</v>
      </c>
      <c r="J19" s="8">
        <v>100</v>
      </c>
      <c r="K19" s="4">
        <f t="shared" si="5"/>
        <v>3000</v>
      </c>
      <c r="L19" s="5">
        <f t="shared" si="6"/>
        <v>-50</v>
      </c>
      <c r="M19" s="6">
        <f t="shared" si="7"/>
        <v>-1500</v>
      </c>
      <c r="N19" s="3">
        <v>45796</v>
      </c>
      <c r="O19" s="3">
        <v>45816</v>
      </c>
      <c r="P19" s="8">
        <v>76</v>
      </c>
      <c r="Q19" s="13">
        <f t="shared" si="3"/>
        <v>24</v>
      </c>
      <c r="R19" s="14">
        <f t="shared" si="4"/>
        <v>720</v>
      </c>
    </row>
    <row r="20" spans="1:18" x14ac:dyDescent="0.2">
      <c r="A20" s="2" t="s">
        <v>67</v>
      </c>
      <c r="B20" s="2" t="s">
        <v>68</v>
      </c>
      <c r="C20" s="2" t="s">
        <v>66</v>
      </c>
      <c r="D20" s="2" t="s">
        <v>11</v>
      </c>
      <c r="E20" s="2" t="s">
        <v>47</v>
      </c>
      <c r="F20" s="2" t="s">
        <v>48</v>
      </c>
      <c r="G20" s="6">
        <v>30</v>
      </c>
      <c r="H20" s="10">
        <v>160</v>
      </c>
      <c r="I20" s="6">
        <v>4800</v>
      </c>
      <c r="J20" s="8">
        <v>70</v>
      </c>
      <c r="K20" s="4">
        <f t="shared" si="5"/>
        <v>2100</v>
      </c>
      <c r="L20" s="5">
        <f t="shared" si="6"/>
        <v>-90</v>
      </c>
      <c r="M20" s="6">
        <f t="shared" si="7"/>
        <v>-2700</v>
      </c>
      <c r="N20" s="3">
        <v>45796</v>
      </c>
      <c r="O20" s="3">
        <v>45816</v>
      </c>
      <c r="P20" s="8">
        <v>50</v>
      </c>
      <c r="Q20" s="13">
        <f t="shared" si="3"/>
        <v>20</v>
      </c>
      <c r="R20" s="14">
        <f t="shared" si="4"/>
        <v>600</v>
      </c>
    </row>
    <row r="21" spans="1:18" x14ac:dyDescent="0.2">
      <c r="A21" s="2" t="s">
        <v>67</v>
      </c>
      <c r="B21" s="2" t="s">
        <v>68</v>
      </c>
      <c r="C21" s="2" t="s">
        <v>66</v>
      </c>
      <c r="D21" s="2" t="s">
        <v>11</v>
      </c>
      <c r="E21" s="2" t="s">
        <v>49</v>
      </c>
      <c r="F21" s="2" t="s">
        <v>50</v>
      </c>
      <c r="G21" s="6">
        <v>30</v>
      </c>
      <c r="H21" s="10">
        <v>150</v>
      </c>
      <c r="I21" s="6">
        <v>4500</v>
      </c>
      <c r="J21" s="8">
        <v>80</v>
      </c>
      <c r="K21" s="4">
        <f t="shared" si="5"/>
        <v>2400</v>
      </c>
      <c r="L21" s="5">
        <f t="shared" si="6"/>
        <v>-70</v>
      </c>
      <c r="M21" s="6">
        <f t="shared" si="7"/>
        <v>-2100</v>
      </c>
      <c r="N21" s="3">
        <v>45796</v>
      </c>
      <c r="O21" s="3">
        <v>45816</v>
      </c>
      <c r="P21" s="8">
        <v>57</v>
      </c>
      <c r="Q21" s="13">
        <f t="shared" si="3"/>
        <v>23</v>
      </c>
      <c r="R21" s="14">
        <f t="shared" si="4"/>
        <v>690</v>
      </c>
    </row>
    <row r="22" spans="1:18" x14ac:dyDescent="0.2">
      <c r="A22" s="2" t="s">
        <v>67</v>
      </c>
      <c r="B22" s="2" t="s">
        <v>68</v>
      </c>
      <c r="C22" s="2" t="s">
        <v>66</v>
      </c>
      <c r="D22" s="2" t="s">
        <v>11</v>
      </c>
      <c r="E22" s="2" t="s">
        <v>51</v>
      </c>
      <c r="F22" s="2" t="s">
        <v>52</v>
      </c>
      <c r="G22" s="6">
        <v>30</v>
      </c>
      <c r="H22" s="10">
        <v>150</v>
      </c>
      <c r="I22" s="6">
        <v>4500</v>
      </c>
      <c r="J22" s="8">
        <v>80</v>
      </c>
      <c r="K22" s="4">
        <f t="shared" si="5"/>
        <v>2400</v>
      </c>
      <c r="L22" s="5">
        <f t="shared" si="6"/>
        <v>-70</v>
      </c>
      <c r="M22" s="6">
        <f t="shared" si="7"/>
        <v>-2100</v>
      </c>
      <c r="N22" s="3">
        <v>45796</v>
      </c>
      <c r="O22" s="3">
        <v>45816</v>
      </c>
      <c r="P22" s="8">
        <v>61</v>
      </c>
      <c r="Q22" s="13">
        <f t="shared" si="3"/>
        <v>19</v>
      </c>
      <c r="R22" s="14">
        <f t="shared" si="4"/>
        <v>570</v>
      </c>
    </row>
    <row r="23" spans="1:18" x14ac:dyDescent="0.2">
      <c r="A23" s="2" t="s">
        <v>70</v>
      </c>
      <c r="B23" s="2" t="s">
        <v>71</v>
      </c>
      <c r="C23" s="2" t="s">
        <v>69</v>
      </c>
      <c r="D23" s="2" t="s">
        <v>11</v>
      </c>
      <c r="E23" s="2" t="s">
        <v>39</v>
      </c>
      <c r="F23" s="2" t="s">
        <v>39</v>
      </c>
      <c r="G23" s="6">
        <v>10</v>
      </c>
      <c r="H23" s="10">
        <v>920</v>
      </c>
      <c r="I23" s="6">
        <v>9200</v>
      </c>
      <c r="J23" s="8">
        <v>700</v>
      </c>
      <c r="K23" s="4">
        <f t="shared" ref="K23:K35" si="8">J23*G23</f>
        <v>7000</v>
      </c>
      <c r="L23" s="5">
        <f t="shared" ref="L23:L35" si="9">J23-H23</f>
        <v>-220</v>
      </c>
      <c r="M23" s="6">
        <f t="shared" ref="M23:M35" si="10">K23-I23</f>
        <v>-2200</v>
      </c>
      <c r="N23" s="3">
        <v>45810</v>
      </c>
      <c r="O23" s="3">
        <v>45816</v>
      </c>
      <c r="P23" s="8">
        <v>0</v>
      </c>
      <c r="Q23" s="13">
        <f t="shared" si="3"/>
        <v>700</v>
      </c>
      <c r="R23" s="14">
        <f t="shared" si="4"/>
        <v>7000</v>
      </c>
    </row>
    <row r="24" spans="1:18" x14ac:dyDescent="0.2">
      <c r="A24" s="2" t="s">
        <v>70</v>
      </c>
      <c r="B24" s="2" t="s">
        <v>71</v>
      </c>
      <c r="C24" s="2" t="s">
        <v>69</v>
      </c>
      <c r="D24" s="2" t="s">
        <v>11</v>
      </c>
      <c r="E24" s="2" t="s">
        <v>40</v>
      </c>
      <c r="F24" s="2" t="s">
        <v>40</v>
      </c>
      <c r="G24" s="6">
        <v>5</v>
      </c>
      <c r="H24" s="10">
        <v>230</v>
      </c>
      <c r="I24" s="6">
        <v>1150</v>
      </c>
      <c r="J24" s="8">
        <v>300</v>
      </c>
      <c r="K24" s="4">
        <f t="shared" si="8"/>
        <v>1500</v>
      </c>
      <c r="L24" s="5">
        <f t="shared" si="9"/>
        <v>70</v>
      </c>
      <c r="M24" s="6">
        <f t="shared" si="10"/>
        <v>350</v>
      </c>
      <c r="N24" s="3">
        <v>45810</v>
      </c>
      <c r="O24" s="3">
        <v>45816</v>
      </c>
      <c r="P24" s="8">
        <v>0</v>
      </c>
      <c r="Q24" s="13">
        <f t="shared" si="3"/>
        <v>300</v>
      </c>
      <c r="R24" s="14">
        <f t="shared" si="4"/>
        <v>1500</v>
      </c>
    </row>
    <row r="25" spans="1:18" x14ac:dyDescent="0.2">
      <c r="A25" s="2" t="s">
        <v>70</v>
      </c>
      <c r="B25" s="2" t="s">
        <v>71</v>
      </c>
      <c r="C25" s="2" t="s">
        <v>69</v>
      </c>
      <c r="D25" s="2" t="s">
        <v>11</v>
      </c>
      <c r="E25" s="2" t="s">
        <v>41</v>
      </c>
      <c r="F25" s="2" t="s">
        <v>41</v>
      </c>
      <c r="G25" s="6">
        <v>20</v>
      </c>
      <c r="H25" s="10">
        <v>518</v>
      </c>
      <c r="I25" s="6">
        <v>10360</v>
      </c>
      <c r="J25" s="8">
        <v>600</v>
      </c>
      <c r="K25" s="4">
        <f t="shared" si="8"/>
        <v>12000</v>
      </c>
      <c r="L25" s="5">
        <f t="shared" si="9"/>
        <v>82</v>
      </c>
      <c r="M25" s="6">
        <f t="shared" si="10"/>
        <v>1640</v>
      </c>
      <c r="N25" s="3">
        <v>45810</v>
      </c>
      <c r="O25" s="3">
        <v>45816</v>
      </c>
      <c r="P25" s="8">
        <v>0</v>
      </c>
      <c r="Q25" s="13">
        <f t="shared" si="3"/>
        <v>600</v>
      </c>
      <c r="R25" s="14">
        <f t="shared" si="4"/>
        <v>12000</v>
      </c>
    </row>
    <row r="26" spans="1:18" x14ac:dyDescent="0.2">
      <c r="A26" s="2" t="s">
        <v>70</v>
      </c>
      <c r="B26" s="2" t="s">
        <v>71</v>
      </c>
      <c r="C26" s="2" t="s">
        <v>69</v>
      </c>
      <c r="D26" s="2" t="s">
        <v>11</v>
      </c>
      <c r="E26" s="2" t="s">
        <v>42</v>
      </c>
      <c r="F26" s="2" t="s">
        <v>42</v>
      </c>
      <c r="G26" s="6">
        <v>10</v>
      </c>
      <c r="H26" s="10">
        <v>345</v>
      </c>
      <c r="I26" s="6">
        <v>3450</v>
      </c>
      <c r="J26" s="8">
        <v>300</v>
      </c>
      <c r="K26" s="4">
        <f t="shared" si="8"/>
        <v>3000</v>
      </c>
      <c r="L26" s="5">
        <f t="shared" si="9"/>
        <v>-45</v>
      </c>
      <c r="M26" s="6">
        <f t="shared" si="10"/>
        <v>-450</v>
      </c>
      <c r="N26" s="3">
        <v>45810</v>
      </c>
      <c r="O26" s="3">
        <v>45816</v>
      </c>
      <c r="P26" s="8">
        <v>0</v>
      </c>
      <c r="Q26" s="13">
        <f t="shared" si="3"/>
        <v>300</v>
      </c>
      <c r="R26" s="14">
        <f t="shared" si="4"/>
        <v>3000</v>
      </c>
    </row>
    <row r="27" spans="1:18" x14ac:dyDescent="0.2">
      <c r="A27" s="2" t="s">
        <v>70</v>
      </c>
      <c r="B27" s="2" t="s">
        <v>71</v>
      </c>
      <c r="C27" s="2" t="s">
        <v>69</v>
      </c>
      <c r="D27" s="2" t="s">
        <v>11</v>
      </c>
      <c r="E27" s="2" t="s">
        <v>43</v>
      </c>
      <c r="F27" s="2" t="s">
        <v>43</v>
      </c>
      <c r="G27" s="6">
        <v>10</v>
      </c>
      <c r="H27" s="10">
        <v>575</v>
      </c>
      <c r="I27" s="6">
        <v>5750</v>
      </c>
      <c r="J27" s="8">
        <v>200</v>
      </c>
      <c r="K27" s="4">
        <f t="shared" si="8"/>
        <v>2000</v>
      </c>
      <c r="L27" s="5">
        <f t="shared" si="9"/>
        <v>-375</v>
      </c>
      <c r="M27" s="6">
        <f t="shared" si="10"/>
        <v>-3750</v>
      </c>
      <c r="N27" s="3">
        <v>45810</v>
      </c>
      <c r="O27" s="3">
        <v>45816</v>
      </c>
      <c r="P27" s="8">
        <v>170</v>
      </c>
      <c r="Q27" s="13">
        <f t="shared" si="3"/>
        <v>30</v>
      </c>
      <c r="R27" s="14">
        <f t="shared" si="4"/>
        <v>300</v>
      </c>
    </row>
    <row r="28" spans="1:18" x14ac:dyDescent="0.2">
      <c r="A28" s="2" t="s">
        <v>70</v>
      </c>
      <c r="B28" s="2" t="s">
        <v>71</v>
      </c>
      <c r="C28" s="2" t="s">
        <v>69</v>
      </c>
      <c r="D28" s="2" t="s">
        <v>11</v>
      </c>
      <c r="E28" s="2" t="s">
        <v>33</v>
      </c>
      <c r="F28" s="2" t="s">
        <v>33</v>
      </c>
      <c r="G28" s="6">
        <v>10</v>
      </c>
      <c r="H28" s="10">
        <v>6</v>
      </c>
      <c r="I28" s="6">
        <v>60</v>
      </c>
      <c r="J28" s="8">
        <v>0</v>
      </c>
      <c r="K28" s="4">
        <f t="shared" si="8"/>
        <v>0</v>
      </c>
      <c r="L28" s="5">
        <f t="shared" si="9"/>
        <v>-6</v>
      </c>
      <c r="M28" s="6">
        <f t="shared" si="10"/>
        <v>-60</v>
      </c>
      <c r="N28" s="3">
        <v>45810</v>
      </c>
      <c r="O28" s="3">
        <v>45816</v>
      </c>
      <c r="P28" s="8">
        <v>0</v>
      </c>
      <c r="Q28" s="13">
        <f t="shared" si="3"/>
        <v>0</v>
      </c>
      <c r="R28" s="14">
        <f t="shared" si="4"/>
        <v>0</v>
      </c>
    </row>
    <row r="29" spans="1:18" x14ac:dyDescent="0.2">
      <c r="A29" s="2" t="s">
        <v>70</v>
      </c>
      <c r="B29" s="2" t="s">
        <v>71</v>
      </c>
      <c r="C29" s="2" t="s">
        <v>69</v>
      </c>
      <c r="D29" s="2" t="s">
        <v>11</v>
      </c>
      <c r="E29" s="2" t="s">
        <v>34</v>
      </c>
      <c r="F29" s="2" t="s">
        <v>34</v>
      </c>
      <c r="G29" s="6">
        <v>10</v>
      </c>
      <c r="H29" s="10">
        <v>6</v>
      </c>
      <c r="I29" s="6">
        <v>60</v>
      </c>
      <c r="J29" s="8">
        <v>0</v>
      </c>
      <c r="K29" s="4">
        <f t="shared" si="8"/>
        <v>0</v>
      </c>
      <c r="L29" s="5">
        <f t="shared" si="9"/>
        <v>-6</v>
      </c>
      <c r="M29" s="6">
        <f t="shared" si="10"/>
        <v>-60</v>
      </c>
      <c r="N29" s="3">
        <v>45810</v>
      </c>
      <c r="O29" s="3">
        <v>45816</v>
      </c>
      <c r="P29" s="8">
        <v>0</v>
      </c>
      <c r="Q29" s="13">
        <f t="shared" si="3"/>
        <v>0</v>
      </c>
      <c r="R29" s="14">
        <f t="shared" si="4"/>
        <v>0</v>
      </c>
    </row>
    <row r="30" spans="1:18" x14ac:dyDescent="0.2">
      <c r="A30" s="2" t="s">
        <v>70</v>
      </c>
      <c r="B30" s="2" t="s">
        <v>71</v>
      </c>
      <c r="C30" s="2" t="s">
        <v>69</v>
      </c>
      <c r="D30" s="2" t="s">
        <v>11</v>
      </c>
      <c r="E30" s="2" t="s">
        <v>8</v>
      </c>
      <c r="F30" s="2" t="s">
        <v>8</v>
      </c>
      <c r="G30" s="6">
        <v>30</v>
      </c>
      <c r="H30" s="10">
        <v>86</v>
      </c>
      <c r="I30" s="6">
        <v>2580</v>
      </c>
      <c r="J30" s="8">
        <v>120</v>
      </c>
      <c r="K30" s="4">
        <f t="shared" si="8"/>
        <v>3600</v>
      </c>
      <c r="L30" s="5">
        <f t="shared" si="9"/>
        <v>34</v>
      </c>
      <c r="M30" s="6">
        <f t="shared" si="10"/>
        <v>1020</v>
      </c>
      <c r="N30" s="3">
        <v>45810</v>
      </c>
      <c r="O30" s="3">
        <v>45816</v>
      </c>
      <c r="P30" s="8">
        <v>8</v>
      </c>
      <c r="Q30" s="13">
        <f t="shared" si="3"/>
        <v>112</v>
      </c>
      <c r="R30" s="14">
        <f t="shared" si="4"/>
        <v>3360</v>
      </c>
    </row>
    <row r="31" spans="1:18" x14ac:dyDescent="0.2">
      <c r="A31" s="2" t="s">
        <v>70</v>
      </c>
      <c r="B31" s="2" t="s">
        <v>71</v>
      </c>
      <c r="C31" s="2" t="s">
        <v>69</v>
      </c>
      <c r="D31" s="2" t="s">
        <v>11</v>
      </c>
      <c r="E31" s="2" t="s">
        <v>9</v>
      </c>
      <c r="F31" s="2" t="s">
        <v>9</v>
      </c>
      <c r="G31" s="6">
        <v>30</v>
      </c>
      <c r="H31" s="10">
        <v>35</v>
      </c>
      <c r="I31" s="6">
        <v>1050</v>
      </c>
      <c r="J31" s="8">
        <v>0</v>
      </c>
      <c r="K31" s="4">
        <f t="shared" si="8"/>
        <v>0</v>
      </c>
      <c r="L31" s="5">
        <f t="shared" si="9"/>
        <v>-35</v>
      </c>
      <c r="M31" s="6">
        <f t="shared" si="10"/>
        <v>-1050</v>
      </c>
      <c r="N31" s="3">
        <v>45810</v>
      </c>
      <c r="O31" s="3">
        <v>45816</v>
      </c>
      <c r="P31" s="8">
        <v>0</v>
      </c>
      <c r="Q31" s="13">
        <f t="shared" si="3"/>
        <v>0</v>
      </c>
      <c r="R31" s="14">
        <f t="shared" si="4"/>
        <v>0</v>
      </c>
    </row>
    <row r="32" spans="1:18" x14ac:dyDescent="0.2">
      <c r="A32" s="2" t="s">
        <v>70</v>
      </c>
      <c r="B32" s="2" t="s">
        <v>71</v>
      </c>
      <c r="C32" s="2" t="s">
        <v>69</v>
      </c>
      <c r="D32" s="2" t="s">
        <v>11</v>
      </c>
      <c r="E32" s="2" t="s">
        <v>44</v>
      </c>
      <c r="F32" s="2" t="s">
        <v>44</v>
      </c>
      <c r="G32" s="6">
        <v>30</v>
      </c>
      <c r="H32" s="10">
        <v>35</v>
      </c>
      <c r="I32" s="6">
        <v>1050</v>
      </c>
      <c r="J32" s="8">
        <v>0</v>
      </c>
      <c r="K32" s="4">
        <f t="shared" si="8"/>
        <v>0</v>
      </c>
      <c r="L32" s="5">
        <f t="shared" si="9"/>
        <v>-35</v>
      </c>
      <c r="M32" s="6">
        <f t="shared" si="10"/>
        <v>-1050</v>
      </c>
      <c r="N32" s="3">
        <v>45810</v>
      </c>
      <c r="O32" s="3">
        <v>45816</v>
      </c>
      <c r="P32" s="8">
        <v>0</v>
      </c>
      <c r="Q32" s="13">
        <f t="shared" si="3"/>
        <v>0</v>
      </c>
      <c r="R32" s="14">
        <f t="shared" si="4"/>
        <v>0</v>
      </c>
    </row>
    <row r="33" spans="1:18" x14ac:dyDescent="0.2">
      <c r="A33" s="2" t="s">
        <v>70</v>
      </c>
      <c r="B33" s="2" t="s">
        <v>71</v>
      </c>
      <c r="C33" s="2" t="s">
        <v>69</v>
      </c>
      <c r="D33" s="2" t="s">
        <v>11</v>
      </c>
      <c r="E33" s="2" t="s">
        <v>10</v>
      </c>
      <c r="F33" s="2" t="s">
        <v>10</v>
      </c>
      <c r="G33" s="6">
        <v>30</v>
      </c>
      <c r="H33" s="10">
        <v>115</v>
      </c>
      <c r="I33" s="6">
        <v>3450</v>
      </c>
      <c r="J33" s="8">
        <v>200</v>
      </c>
      <c r="K33" s="4">
        <f t="shared" si="8"/>
        <v>6000</v>
      </c>
      <c r="L33" s="5">
        <f t="shared" si="9"/>
        <v>85</v>
      </c>
      <c r="M33" s="6">
        <f t="shared" si="10"/>
        <v>2550</v>
      </c>
      <c r="N33" s="3">
        <v>45810</v>
      </c>
      <c r="O33" s="3">
        <v>45816</v>
      </c>
      <c r="P33" s="8">
        <v>0</v>
      </c>
      <c r="Q33" s="13">
        <f t="shared" si="3"/>
        <v>200</v>
      </c>
      <c r="R33" s="14">
        <f t="shared" si="4"/>
        <v>6000</v>
      </c>
    </row>
    <row r="34" spans="1:18" x14ac:dyDescent="0.2">
      <c r="A34" s="2" t="s">
        <v>70</v>
      </c>
      <c r="B34" s="2" t="s">
        <v>71</v>
      </c>
      <c r="C34" s="2" t="s">
        <v>69</v>
      </c>
      <c r="D34" s="2" t="s">
        <v>11</v>
      </c>
      <c r="E34" s="2" t="s">
        <v>35</v>
      </c>
      <c r="F34" s="2" t="s">
        <v>36</v>
      </c>
      <c r="G34" s="6">
        <v>7</v>
      </c>
      <c r="H34" s="10">
        <v>3</v>
      </c>
      <c r="I34" s="6">
        <v>21</v>
      </c>
      <c r="J34" s="8">
        <v>0</v>
      </c>
      <c r="K34" s="4">
        <f t="shared" si="8"/>
        <v>0</v>
      </c>
      <c r="L34" s="5">
        <f t="shared" si="9"/>
        <v>-3</v>
      </c>
      <c r="M34" s="6">
        <f t="shared" si="10"/>
        <v>-21</v>
      </c>
      <c r="N34" s="3">
        <v>45810</v>
      </c>
      <c r="O34" s="3">
        <v>45816</v>
      </c>
      <c r="P34" s="8">
        <v>0</v>
      </c>
      <c r="Q34" s="13">
        <f t="shared" si="3"/>
        <v>0</v>
      </c>
      <c r="R34" s="14">
        <f t="shared" si="4"/>
        <v>0</v>
      </c>
    </row>
    <row r="35" spans="1:18" x14ac:dyDescent="0.2">
      <c r="A35" s="2" t="s">
        <v>70</v>
      </c>
      <c r="B35" s="2" t="s">
        <v>71</v>
      </c>
      <c r="C35" s="2" t="s">
        <v>69</v>
      </c>
      <c r="D35" s="2" t="s">
        <v>11</v>
      </c>
      <c r="E35" s="2" t="s">
        <v>37</v>
      </c>
      <c r="F35" s="2" t="s">
        <v>38</v>
      </c>
      <c r="G35" s="6">
        <v>7</v>
      </c>
      <c r="H35" s="10">
        <v>3</v>
      </c>
      <c r="I35" s="6">
        <v>21</v>
      </c>
      <c r="J35" s="8">
        <v>0</v>
      </c>
      <c r="K35" s="4">
        <f t="shared" si="8"/>
        <v>0</v>
      </c>
      <c r="L35" s="5">
        <f t="shared" si="9"/>
        <v>-3</v>
      </c>
      <c r="M35" s="6">
        <f t="shared" si="10"/>
        <v>-21</v>
      </c>
      <c r="N35" s="3">
        <v>45810</v>
      </c>
      <c r="O35" s="3">
        <v>45816</v>
      </c>
      <c r="P35" s="8">
        <v>0</v>
      </c>
      <c r="Q35" s="13">
        <f t="shared" si="3"/>
        <v>0</v>
      </c>
      <c r="R35" s="14">
        <f t="shared" si="4"/>
        <v>0</v>
      </c>
    </row>
    <row r="36" spans="1:18" x14ac:dyDescent="0.2">
      <c r="A36" s="2" t="s">
        <v>78</v>
      </c>
      <c r="B36" s="2" t="s">
        <v>79</v>
      </c>
      <c r="C36" s="2" t="s">
        <v>72</v>
      </c>
      <c r="D36" s="2" t="s">
        <v>11</v>
      </c>
      <c r="E36" s="2" t="s">
        <v>12</v>
      </c>
      <c r="F36" s="2" t="s">
        <v>13</v>
      </c>
      <c r="G36" s="6">
        <v>30</v>
      </c>
      <c r="H36" s="10">
        <v>89</v>
      </c>
      <c r="I36" s="6">
        <v>2670</v>
      </c>
      <c r="J36" s="8">
        <v>40</v>
      </c>
      <c r="K36" s="4">
        <f t="shared" ref="K36:K51" si="11">J36*G36</f>
        <v>1200</v>
      </c>
      <c r="L36" s="5">
        <f t="shared" ref="L36:L51" si="12">J36-H36</f>
        <v>-49</v>
      </c>
      <c r="M36" s="6">
        <f t="shared" ref="M36:M51" si="13">K36-I36</f>
        <v>-1470</v>
      </c>
      <c r="N36" s="3">
        <v>45810</v>
      </c>
      <c r="O36" s="3">
        <v>45816</v>
      </c>
      <c r="P36" s="8">
        <v>0</v>
      </c>
      <c r="Q36" s="13">
        <f t="shared" si="3"/>
        <v>40</v>
      </c>
      <c r="R36" s="14">
        <f t="shared" si="4"/>
        <v>1200</v>
      </c>
    </row>
    <row r="37" spans="1:18" x14ac:dyDescent="0.2">
      <c r="A37" s="2" t="s">
        <v>78</v>
      </c>
      <c r="B37" s="2" t="s">
        <v>79</v>
      </c>
      <c r="C37" s="2" t="s">
        <v>72</v>
      </c>
      <c r="D37" s="2" t="s">
        <v>11</v>
      </c>
      <c r="E37" s="2" t="s">
        <v>73</v>
      </c>
      <c r="F37" s="2" t="s">
        <v>13</v>
      </c>
      <c r="G37" s="6">
        <v>30</v>
      </c>
      <c r="H37" s="10">
        <v>1</v>
      </c>
      <c r="I37" s="6">
        <v>30</v>
      </c>
      <c r="J37" s="8">
        <v>0</v>
      </c>
      <c r="K37" s="4">
        <f t="shared" si="11"/>
        <v>0</v>
      </c>
      <c r="L37" s="5">
        <f t="shared" si="12"/>
        <v>-1</v>
      </c>
      <c r="M37" s="6">
        <f t="shared" si="13"/>
        <v>-30</v>
      </c>
      <c r="N37" s="3">
        <v>45810</v>
      </c>
      <c r="O37" s="3">
        <v>45816</v>
      </c>
      <c r="P37" s="8">
        <v>0</v>
      </c>
      <c r="Q37" s="13">
        <f t="shared" si="3"/>
        <v>0</v>
      </c>
      <c r="R37" s="14">
        <f t="shared" si="4"/>
        <v>0</v>
      </c>
    </row>
    <row r="38" spans="1:18" x14ac:dyDescent="0.2">
      <c r="A38" s="2" t="s">
        <v>78</v>
      </c>
      <c r="B38" s="2" t="s">
        <v>79</v>
      </c>
      <c r="C38" s="2" t="s">
        <v>72</v>
      </c>
      <c r="D38" s="2" t="s">
        <v>11</v>
      </c>
      <c r="E38" s="2" t="s">
        <v>14</v>
      </c>
      <c r="F38" s="2" t="s">
        <v>15</v>
      </c>
      <c r="G38" s="6">
        <v>30</v>
      </c>
      <c r="H38" s="10">
        <v>75</v>
      </c>
      <c r="I38" s="6">
        <v>2250</v>
      </c>
      <c r="J38" s="8">
        <v>40</v>
      </c>
      <c r="K38" s="4">
        <f t="shared" si="11"/>
        <v>1200</v>
      </c>
      <c r="L38" s="5">
        <f t="shared" si="12"/>
        <v>-35</v>
      </c>
      <c r="M38" s="6">
        <f t="shared" si="13"/>
        <v>-1050</v>
      </c>
      <c r="N38" s="3">
        <v>45810</v>
      </c>
      <c r="O38" s="3">
        <v>45816</v>
      </c>
      <c r="P38" s="8">
        <v>0</v>
      </c>
      <c r="Q38" s="13">
        <f t="shared" si="3"/>
        <v>40</v>
      </c>
      <c r="R38" s="14">
        <f t="shared" si="4"/>
        <v>1200</v>
      </c>
    </row>
    <row r="39" spans="1:18" x14ac:dyDescent="0.2">
      <c r="A39" s="2" t="s">
        <v>78</v>
      </c>
      <c r="B39" s="2" t="s">
        <v>79</v>
      </c>
      <c r="C39" s="2" t="s">
        <v>72</v>
      </c>
      <c r="D39" s="2" t="s">
        <v>11</v>
      </c>
      <c r="E39" s="2" t="s">
        <v>74</v>
      </c>
      <c r="F39" s="2" t="s">
        <v>15</v>
      </c>
      <c r="G39" s="6">
        <v>30</v>
      </c>
      <c r="H39" s="10">
        <v>1</v>
      </c>
      <c r="I39" s="6">
        <v>30</v>
      </c>
      <c r="J39" s="8">
        <v>0</v>
      </c>
      <c r="K39" s="4">
        <f t="shared" si="11"/>
        <v>0</v>
      </c>
      <c r="L39" s="5">
        <f t="shared" si="12"/>
        <v>-1</v>
      </c>
      <c r="M39" s="6">
        <f t="shared" si="13"/>
        <v>-30</v>
      </c>
      <c r="N39" s="3">
        <v>45810</v>
      </c>
      <c r="O39" s="3">
        <v>45816</v>
      </c>
      <c r="P39" s="8">
        <v>0</v>
      </c>
      <c r="Q39" s="13">
        <f t="shared" si="3"/>
        <v>0</v>
      </c>
      <c r="R39" s="14">
        <f t="shared" si="4"/>
        <v>0</v>
      </c>
    </row>
    <row r="40" spans="1:18" x14ac:dyDescent="0.2">
      <c r="A40" s="2" t="s">
        <v>78</v>
      </c>
      <c r="B40" s="2" t="s">
        <v>79</v>
      </c>
      <c r="C40" s="2" t="s">
        <v>72</v>
      </c>
      <c r="D40" s="2" t="s">
        <v>11</v>
      </c>
      <c r="E40" s="2" t="s">
        <v>16</v>
      </c>
      <c r="F40" s="2" t="s">
        <v>17</v>
      </c>
      <c r="G40" s="6">
        <v>30</v>
      </c>
      <c r="H40" s="10">
        <v>89</v>
      </c>
      <c r="I40" s="6">
        <v>2670</v>
      </c>
      <c r="J40" s="8">
        <v>30</v>
      </c>
      <c r="K40" s="4">
        <f t="shared" si="11"/>
        <v>900</v>
      </c>
      <c r="L40" s="5">
        <f t="shared" si="12"/>
        <v>-59</v>
      </c>
      <c r="M40" s="6">
        <f t="shared" si="13"/>
        <v>-1770</v>
      </c>
      <c r="N40" s="3">
        <v>45810</v>
      </c>
      <c r="O40" s="3">
        <v>45816</v>
      </c>
      <c r="P40" s="8">
        <v>20</v>
      </c>
      <c r="Q40" s="13">
        <f t="shared" si="3"/>
        <v>10</v>
      </c>
      <c r="R40" s="14">
        <f t="shared" si="4"/>
        <v>300</v>
      </c>
    </row>
    <row r="41" spans="1:18" x14ac:dyDescent="0.2">
      <c r="A41" s="2" t="s">
        <v>78</v>
      </c>
      <c r="B41" s="2" t="s">
        <v>79</v>
      </c>
      <c r="C41" s="2" t="s">
        <v>72</v>
      </c>
      <c r="D41" s="2" t="s">
        <v>11</v>
      </c>
      <c r="E41" s="2" t="s">
        <v>53</v>
      </c>
      <c r="F41" s="2" t="s">
        <v>17</v>
      </c>
      <c r="G41" s="6">
        <v>30</v>
      </c>
      <c r="H41" s="10">
        <v>1</v>
      </c>
      <c r="I41" s="6">
        <v>30</v>
      </c>
      <c r="J41" s="8">
        <v>0</v>
      </c>
      <c r="K41" s="4">
        <f t="shared" si="11"/>
        <v>0</v>
      </c>
      <c r="L41" s="5">
        <f t="shared" si="12"/>
        <v>-1</v>
      </c>
      <c r="M41" s="6">
        <f t="shared" si="13"/>
        <v>-30</v>
      </c>
      <c r="N41" s="3">
        <v>45810</v>
      </c>
      <c r="O41" s="3">
        <v>45816</v>
      </c>
      <c r="P41" s="8">
        <v>0</v>
      </c>
      <c r="Q41" s="13">
        <f t="shared" si="3"/>
        <v>0</v>
      </c>
      <c r="R41" s="14">
        <f t="shared" si="4"/>
        <v>0</v>
      </c>
    </row>
    <row r="42" spans="1:18" x14ac:dyDescent="0.2">
      <c r="A42" s="2" t="s">
        <v>78</v>
      </c>
      <c r="B42" s="2" t="s">
        <v>79</v>
      </c>
      <c r="C42" s="2" t="s">
        <v>72</v>
      </c>
      <c r="D42" s="2" t="s">
        <v>11</v>
      </c>
      <c r="E42" s="2" t="s">
        <v>18</v>
      </c>
      <c r="F42" s="2" t="s">
        <v>19</v>
      </c>
      <c r="G42" s="6">
        <v>30</v>
      </c>
      <c r="H42" s="10">
        <v>37</v>
      </c>
      <c r="I42" s="6">
        <v>1110</v>
      </c>
      <c r="J42" s="8">
        <v>30</v>
      </c>
      <c r="K42" s="4">
        <f t="shared" si="11"/>
        <v>900</v>
      </c>
      <c r="L42" s="5">
        <f t="shared" si="12"/>
        <v>-7</v>
      </c>
      <c r="M42" s="6">
        <f t="shared" si="13"/>
        <v>-210</v>
      </c>
      <c r="N42" s="3">
        <v>45810</v>
      </c>
      <c r="O42" s="3">
        <v>45816</v>
      </c>
      <c r="P42" s="8">
        <v>0</v>
      </c>
      <c r="Q42" s="13">
        <f t="shared" si="3"/>
        <v>30</v>
      </c>
      <c r="R42" s="14">
        <f t="shared" si="4"/>
        <v>900</v>
      </c>
    </row>
    <row r="43" spans="1:18" x14ac:dyDescent="0.2">
      <c r="A43" s="2" t="s">
        <v>78</v>
      </c>
      <c r="B43" s="2" t="s">
        <v>79</v>
      </c>
      <c r="C43" s="2" t="s">
        <v>72</v>
      </c>
      <c r="D43" s="2" t="s">
        <v>11</v>
      </c>
      <c r="E43" s="2" t="s">
        <v>20</v>
      </c>
      <c r="F43" s="2" t="s">
        <v>21</v>
      </c>
      <c r="G43" s="6">
        <v>30</v>
      </c>
      <c r="H43" s="10">
        <v>34</v>
      </c>
      <c r="I43" s="6">
        <v>1020</v>
      </c>
      <c r="J43" s="8">
        <v>40</v>
      </c>
      <c r="K43" s="4">
        <f t="shared" si="11"/>
        <v>1200</v>
      </c>
      <c r="L43" s="5">
        <f t="shared" si="12"/>
        <v>6</v>
      </c>
      <c r="M43" s="6">
        <f t="shared" si="13"/>
        <v>180</v>
      </c>
      <c r="N43" s="3">
        <v>45810</v>
      </c>
      <c r="O43" s="3">
        <v>45816</v>
      </c>
      <c r="P43" s="8">
        <v>0</v>
      </c>
      <c r="Q43" s="13">
        <f t="shared" si="3"/>
        <v>40</v>
      </c>
      <c r="R43" s="14">
        <f t="shared" si="4"/>
        <v>1200</v>
      </c>
    </row>
    <row r="44" spans="1:18" x14ac:dyDescent="0.2">
      <c r="A44" s="2" t="s">
        <v>78</v>
      </c>
      <c r="B44" s="2" t="s">
        <v>79</v>
      </c>
      <c r="C44" s="2" t="s">
        <v>72</v>
      </c>
      <c r="D44" s="2" t="s">
        <v>11</v>
      </c>
      <c r="E44" s="2" t="s">
        <v>22</v>
      </c>
      <c r="F44" s="2" t="s">
        <v>23</v>
      </c>
      <c r="G44" s="6">
        <v>30</v>
      </c>
      <c r="H44" s="10">
        <v>37</v>
      </c>
      <c r="I44" s="6">
        <v>1110</v>
      </c>
      <c r="J44" s="8">
        <v>40</v>
      </c>
      <c r="K44" s="4">
        <f t="shared" si="11"/>
        <v>1200</v>
      </c>
      <c r="L44" s="5">
        <f t="shared" si="12"/>
        <v>3</v>
      </c>
      <c r="M44" s="6">
        <f t="shared" si="13"/>
        <v>90</v>
      </c>
      <c r="N44" s="3">
        <v>45810</v>
      </c>
      <c r="O44" s="3">
        <v>45816</v>
      </c>
      <c r="P44" s="8">
        <v>0</v>
      </c>
      <c r="Q44" s="13">
        <f t="shared" si="3"/>
        <v>40</v>
      </c>
      <c r="R44" s="14">
        <f t="shared" si="4"/>
        <v>1200</v>
      </c>
    </row>
    <row r="45" spans="1:18" x14ac:dyDescent="0.2">
      <c r="A45" s="2" t="s">
        <v>78</v>
      </c>
      <c r="B45" s="2" t="s">
        <v>79</v>
      </c>
      <c r="C45" s="2" t="s">
        <v>72</v>
      </c>
      <c r="D45" s="2" t="s">
        <v>11</v>
      </c>
      <c r="E45" s="2" t="s">
        <v>24</v>
      </c>
      <c r="F45" s="2" t="s">
        <v>25</v>
      </c>
      <c r="G45" s="6">
        <v>30</v>
      </c>
      <c r="H45" s="10">
        <v>48</v>
      </c>
      <c r="I45" s="6">
        <v>1440</v>
      </c>
      <c r="J45" s="8">
        <v>40</v>
      </c>
      <c r="K45" s="4">
        <f t="shared" si="11"/>
        <v>1200</v>
      </c>
      <c r="L45" s="5">
        <f t="shared" si="12"/>
        <v>-8</v>
      </c>
      <c r="M45" s="6">
        <f t="shared" si="13"/>
        <v>-240</v>
      </c>
      <c r="N45" s="3">
        <v>45810</v>
      </c>
      <c r="O45" s="3">
        <v>45816</v>
      </c>
      <c r="P45" s="8">
        <v>0</v>
      </c>
      <c r="Q45" s="13">
        <f t="shared" si="3"/>
        <v>40</v>
      </c>
      <c r="R45" s="14">
        <f t="shared" si="4"/>
        <v>1200</v>
      </c>
    </row>
    <row r="46" spans="1:18" x14ac:dyDescent="0.2">
      <c r="A46" s="2" t="s">
        <v>78</v>
      </c>
      <c r="B46" s="2" t="s">
        <v>79</v>
      </c>
      <c r="C46" s="2" t="s">
        <v>72</v>
      </c>
      <c r="D46" s="2" t="s">
        <v>11</v>
      </c>
      <c r="E46" s="2" t="s">
        <v>75</v>
      </c>
      <c r="F46" s="2" t="s">
        <v>25</v>
      </c>
      <c r="G46" s="6">
        <v>30</v>
      </c>
      <c r="H46" s="10">
        <v>1</v>
      </c>
      <c r="I46" s="6">
        <v>30</v>
      </c>
      <c r="J46" s="8">
        <v>0</v>
      </c>
      <c r="K46" s="4">
        <f t="shared" si="11"/>
        <v>0</v>
      </c>
      <c r="L46" s="5">
        <f t="shared" si="12"/>
        <v>-1</v>
      </c>
      <c r="M46" s="6">
        <f t="shared" si="13"/>
        <v>-30</v>
      </c>
      <c r="N46" s="3">
        <v>45810</v>
      </c>
      <c r="O46" s="3">
        <v>45816</v>
      </c>
      <c r="P46" s="8">
        <v>0</v>
      </c>
      <c r="Q46" s="13">
        <f t="shared" si="3"/>
        <v>0</v>
      </c>
      <c r="R46" s="14">
        <f t="shared" si="4"/>
        <v>0</v>
      </c>
    </row>
    <row r="47" spans="1:18" x14ac:dyDescent="0.2">
      <c r="A47" s="2" t="s">
        <v>78</v>
      </c>
      <c r="B47" s="2" t="s">
        <v>79</v>
      </c>
      <c r="C47" s="2" t="s">
        <v>72</v>
      </c>
      <c r="D47" s="2" t="s">
        <v>11</v>
      </c>
      <c r="E47" s="2" t="s">
        <v>26</v>
      </c>
      <c r="F47" s="2" t="s">
        <v>27</v>
      </c>
      <c r="G47" s="6">
        <v>30</v>
      </c>
      <c r="H47" s="10">
        <v>63</v>
      </c>
      <c r="I47" s="6">
        <v>1890</v>
      </c>
      <c r="J47" s="8">
        <v>40</v>
      </c>
      <c r="K47" s="4">
        <f t="shared" si="11"/>
        <v>1200</v>
      </c>
      <c r="L47" s="5">
        <f t="shared" si="12"/>
        <v>-23</v>
      </c>
      <c r="M47" s="6">
        <f t="shared" si="13"/>
        <v>-690</v>
      </c>
      <c r="N47" s="3">
        <v>45810</v>
      </c>
      <c r="O47" s="3">
        <v>45816</v>
      </c>
      <c r="P47" s="8">
        <v>0</v>
      </c>
      <c r="Q47" s="13">
        <f t="shared" si="3"/>
        <v>40</v>
      </c>
      <c r="R47" s="14">
        <f t="shared" si="4"/>
        <v>1200</v>
      </c>
    </row>
    <row r="48" spans="1:18" x14ac:dyDescent="0.2">
      <c r="A48" s="2" t="s">
        <v>78</v>
      </c>
      <c r="B48" s="2" t="s">
        <v>79</v>
      </c>
      <c r="C48" s="2" t="s">
        <v>72</v>
      </c>
      <c r="D48" s="2" t="s">
        <v>11</v>
      </c>
      <c r="E48" s="2" t="s">
        <v>76</v>
      </c>
      <c r="F48" s="2" t="s">
        <v>27</v>
      </c>
      <c r="G48" s="6">
        <v>30</v>
      </c>
      <c r="H48" s="10">
        <v>1</v>
      </c>
      <c r="I48" s="6">
        <v>30</v>
      </c>
      <c r="J48" s="8">
        <v>0</v>
      </c>
      <c r="K48" s="4">
        <f t="shared" si="11"/>
        <v>0</v>
      </c>
      <c r="L48" s="5">
        <f t="shared" si="12"/>
        <v>-1</v>
      </c>
      <c r="M48" s="6">
        <f t="shared" si="13"/>
        <v>-30</v>
      </c>
      <c r="N48" s="3">
        <v>45810</v>
      </c>
      <c r="O48" s="3">
        <v>45816</v>
      </c>
      <c r="P48" s="8">
        <v>0</v>
      </c>
      <c r="Q48" s="13">
        <f t="shared" si="3"/>
        <v>0</v>
      </c>
      <c r="R48" s="14">
        <f t="shared" si="4"/>
        <v>0</v>
      </c>
    </row>
    <row r="49" spans="1:18" x14ac:dyDescent="0.2">
      <c r="A49" s="2" t="s">
        <v>78</v>
      </c>
      <c r="B49" s="2" t="s">
        <v>79</v>
      </c>
      <c r="C49" s="2" t="s">
        <v>72</v>
      </c>
      <c r="D49" s="2" t="s">
        <v>11</v>
      </c>
      <c r="E49" s="2" t="s">
        <v>28</v>
      </c>
      <c r="F49" s="2" t="s">
        <v>29</v>
      </c>
      <c r="G49" s="6">
        <v>30</v>
      </c>
      <c r="H49" s="10">
        <v>62</v>
      </c>
      <c r="I49" s="6">
        <v>1860</v>
      </c>
      <c r="J49" s="8">
        <v>40</v>
      </c>
      <c r="K49" s="4">
        <f t="shared" si="11"/>
        <v>1200</v>
      </c>
      <c r="L49" s="5">
        <f t="shared" si="12"/>
        <v>-22</v>
      </c>
      <c r="M49" s="6">
        <f t="shared" si="13"/>
        <v>-660</v>
      </c>
      <c r="N49" s="3">
        <v>45810</v>
      </c>
      <c r="O49" s="3">
        <v>45816</v>
      </c>
      <c r="P49" s="8">
        <v>0</v>
      </c>
      <c r="Q49" s="13">
        <f t="shared" si="3"/>
        <v>40</v>
      </c>
      <c r="R49" s="14">
        <f t="shared" si="4"/>
        <v>1200</v>
      </c>
    </row>
    <row r="50" spans="1:18" x14ac:dyDescent="0.2">
      <c r="A50" s="2" t="s">
        <v>78</v>
      </c>
      <c r="B50" s="2" t="s">
        <v>79</v>
      </c>
      <c r="C50" s="2" t="s">
        <v>72</v>
      </c>
      <c r="D50" s="2" t="s">
        <v>11</v>
      </c>
      <c r="E50" s="2" t="s">
        <v>77</v>
      </c>
      <c r="F50" s="2" t="s">
        <v>29</v>
      </c>
      <c r="G50" s="6">
        <v>30</v>
      </c>
      <c r="H50" s="10">
        <v>1</v>
      </c>
      <c r="I50" s="6">
        <v>30</v>
      </c>
      <c r="J50" s="8">
        <v>0</v>
      </c>
      <c r="K50" s="4">
        <f t="shared" si="11"/>
        <v>0</v>
      </c>
      <c r="L50" s="5">
        <f t="shared" si="12"/>
        <v>-1</v>
      </c>
      <c r="M50" s="6">
        <f t="shared" si="13"/>
        <v>-30</v>
      </c>
      <c r="N50" s="3">
        <v>45810</v>
      </c>
      <c r="O50" s="3">
        <v>45816</v>
      </c>
      <c r="P50" s="8">
        <v>0</v>
      </c>
      <c r="Q50" s="13">
        <f t="shared" si="3"/>
        <v>0</v>
      </c>
      <c r="R50" s="14">
        <f t="shared" si="4"/>
        <v>0</v>
      </c>
    </row>
    <row r="51" spans="1:18" x14ac:dyDescent="0.2">
      <c r="A51" s="2" t="s">
        <v>78</v>
      </c>
      <c r="B51" s="2" t="s">
        <v>79</v>
      </c>
      <c r="C51" s="2" t="s">
        <v>72</v>
      </c>
      <c r="D51" s="2" t="s">
        <v>11</v>
      </c>
      <c r="E51" s="2" t="s">
        <v>30</v>
      </c>
      <c r="F51" s="2" t="s">
        <v>31</v>
      </c>
      <c r="G51" s="6">
        <v>30</v>
      </c>
      <c r="H51" s="10">
        <v>21</v>
      </c>
      <c r="I51" s="6">
        <v>630</v>
      </c>
      <c r="J51" s="8">
        <v>20</v>
      </c>
      <c r="K51" s="4">
        <f t="shared" si="11"/>
        <v>600</v>
      </c>
      <c r="L51" s="5">
        <f t="shared" si="12"/>
        <v>-1</v>
      </c>
      <c r="M51" s="6">
        <f t="shared" si="13"/>
        <v>-30</v>
      </c>
      <c r="N51" s="3">
        <v>45810</v>
      </c>
      <c r="O51" s="3">
        <v>45816</v>
      </c>
      <c r="P51" s="8">
        <v>0</v>
      </c>
      <c r="Q51" s="13">
        <f t="shared" si="3"/>
        <v>20</v>
      </c>
      <c r="R51" s="14">
        <f t="shared" si="4"/>
        <v>600</v>
      </c>
    </row>
  </sheetData>
  <autoFilter ref="A1:R51" xr:uid="{00000000-0001-0000-0000-000000000000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2025-06-02T19:06:31Z</dcterms:created>
  <dcterms:modified xsi:type="dcterms:W3CDTF">2025-06-05T18:52:18Z</dcterms:modified>
  <cp:category/>
</cp:coreProperties>
</file>