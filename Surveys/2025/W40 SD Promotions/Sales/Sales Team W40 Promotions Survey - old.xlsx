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0 SD Promotions\Sales\"/>
    </mc:Choice>
  </mc:AlternateContent>
  <xr:revisionPtr revIDLastSave="0" documentId="13_ncr:1_{5110D834-BABA-4F2C-9B41-427A4181C58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HAT WE ADDED" sheetId="13" r:id="rId1"/>
    <sheet name="As of now" sheetId="1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4" l="1"/>
  <c r="J21" i="14"/>
  <c r="J20" i="14"/>
  <c r="J19" i="14"/>
  <c r="L19" i="14" s="1"/>
  <c r="M19" i="14" s="1"/>
  <c r="N19" i="14" s="1"/>
  <c r="J18" i="14"/>
  <c r="J17" i="14"/>
  <c r="L17" i="14" s="1"/>
  <c r="M17" i="14" s="1"/>
  <c r="N17" i="14" s="1"/>
  <c r="J16" i="14"/>
  <c r="J15" i="14"/>
  <c r="L15" i="14" s="1"/>
  <c r="J14" i="14"/>
  <c r="L14" i="14" s="1"/>
  <c r="M14" i="14" s="1"/>
  <c r="N14" i="14" s="1"/>
  <c r="J13" i="14"/>
  <c r="L13" i="14" s="1"/>
  <c r="M13" i="14" s="1"/>
  <c r="N13" i="14" s="1"/>
  <c r="J12" i="14"/>
  <c r="K12" i="14" s="1"/>
  <c r="J11" i="14"/>
  <c r="J10" i="14"/>
  <c r="L10" i="14" s="1"/>
  <c r="M10" i="14" s="1"/>
  <c r="N10" i="14" s="1"/>
  <c r="J9" i="14"/>
  <c r="L9" i="14" s="1"/>
  <c r="M9" i="14" s="1"/>
  <c r="N9" i="14" s="1"/>
  <c r="J8" i="14"/>
  <c r="K8" i="14" s="1"/>
  <c r="J7" i="14"/>
  <c r="L7" i="14" s="1"/>
  <c r="M7" i="14" s="1"/>
  <c r="N7" i="14" s="1"/>
  <c r="J6" i="14"/>
  <c r="L6" i="14" s="1"/>
  <c r="M6" i="14" s="1"/>
  <c r="N6" i="14" s="1"/>
  <c r="Q5" i="14"/>
  <c r="J5" i="14"/>
  <c r="K5" i="14" s="1"/>
  <c r="Q4" i="14"/>
  <c r="J4" i="14"/>
  <c r="Q3" i="14"/>
  <c r="J3" i="14"/>
  <c r="K3" i="14" s="1"/>
  <c r="Q2" i="14"/>
  <c r="J2" i="14"/>
  <c r="K2" i="14" s="1"/>
  <c r="Q5" i="13"/>
  <c r="Q4" i="13"/>
  <c r="Q3" i="13"/>
  <c r="J22" i="13"/>
  <c r="L22" i="13" s="1"/>
  <c r="M22" i="13" s="1"/>
  <c r="N22" i="13" s="1"/>
  <c r="J21" i="13"/>
  <c r="K21" i="13" s="1"/>
  <c r="J20" i="13"/>
  <c r="L20" i="13" s="1"/>
  <c r="M20" i="13" s="1"/>
  <c r="N20" i="13" s="1"/>
  <c r="J19" i="13"/>
  <c r="K19" i="13" s="1"/>
  <c r="J18" i="13"/>
  <c r="L18" i="13" s="1"/>
  <c r="M18" i="13" s="1"/>
  <c r="N18" i="13" s="1"/>
  <c r="J17" i="13"/>
  <c r="L17" i="13" s="1"/>
  <c r="M17" i="13" s="1"/>
  <c r="N17" i="13" s="1"/>
  <c r="J16" i="13"/>
  <c r="L16" i="13" s="1"/>
  <c r="M16" i="13" s="1"/>
  <c r="N16" i="13" s="1"/>
  <c r="J15" i="13"/>
  <c r="L15" i="13" s="1"/>
  <c r="J14" i="13"/>
  <c r="L14" i="13" s="1"/>
  <c r="J13" i="13"/>
  <c r="K13" i="13" s="1"/>
  <c r="J12" i="13"/>
  <c r="K12" i="13" s="1"/>
  <c r="J11" i="13"/>
  <c r="L11" i="13" s="1"/>
  <c r="M11" i="13" s="1"/>
  <c r="N11" i="13" s="1"/>
  <c r="J10" i="13"/>
  <c r="K10" i="13" s="1"/>
  <c r="J9" i="13"/>
  <c r="K9" i="13" s="1"/>
  <c r="J8" i="13"/>
  <c r="K8" i="13" s="1"/>
  <c r="J7" i="13"/>
  <c r="L7" i="13" s="1"/>
  <c r="M7" i="13" s="1"/>
  <c r="N7" i="13" s="1"/>
  <c r="J6" i="13"/>
  <c r="L6" i="13" s="1"/>
  <c r="M6" i="13" s="1"/>
  <c r="N6" i="13" s="1"/>
  <c r="J5" i="13"/>
  <c r="L5" i="13" s="1"/>
  <c r="J4" i="13"/>
  <c r="L4" i="13" s="1"/>
  <c r="M4" i="13" s="1"/>
  <c r="N4" i="13" s="1"/>
  <c r="J3" i="13"/>
  <c r="L3" i="13" s="1"/>
  <c r="M3" i="13" s="1"/>
  <c r="N3" i="13" s="1"/>
  <c r="Q2" i="13"/>
  <c r="J2" i="13"/>
  <c r="K2" i="13" s="1"/>
  <c r="L18" i="14" l="1"/>
  <c r="M18" i="14" s="1"/>
  <c r="N18" i="14" s="1"/>
  <c r="L8" i="14"/>
  <c r="M8" i="14" s="1"/>
  <c r="N8" i="14" s="1"/>
  <c r="K18" i="14"/>
  <c r="L12" i="14"/>
  <c r="M12" i="14" s="1"/>
  <c r="N12" i="14" s="1"/>
  <c r="K20" i="14"/>
  <c r="L5" i="14"/>
  <c r="M5" i="14" s="1"/>
  <c r="N5" i="14" s="1"/>
  <c r="L20" i="14"/>
  <c r="M20" i="14" s="1"/>
  <c r="N20" i="14" s="1"/>
  <c r="K6" i="14"/>
  <c r="K16" i="14"/>
  <c r="L3" i="14"/>
  <c r="M3" i="14" s="1"/>
  <c r="N3" i="14" s="1"/>
  <c r="L16" i="14"/>
  <c r="M16" i="14" s="1"/>
  <c r="N16" i="14" s="1"/>
  <c r="L21" i="14"/>
  <c r="M21" i="14" s="1"/>
  <c r="N21" i="14" s="1"/>
  <c r="L2" i="14"/>
  <c r="M2" i="14" s="1"/>
  <c r="N2" i="14" s="1"/>
  <c r="K14" i="14"/>
  <c r="K10" i="14"/>
  <c r="K22" i="14"/>
  <c r="M15" i="14"/>
  <c r="N15" i="14" s="1"/>
  <c r="K7" i="14"/>
  <c r="K9" i="14"/>
  <c r="K11" i="14"/>
  <c r="K13" i="14"/>
  <c r="K15" i="14"/>
  <c r="K17" i="14"/>
  <c r="K19" i="14"/>
  <c r="K21" i="14"/>
  <c r="L11" i="14"/>
  <c r="M11" i="14" s="1"/>
  <c r="N11" i="14" s="1"/>
  <c r="L4" i="14"/>
  <c r="K4" i="14"/>
  <c r="L22" i="14"/>
  <c r="M22" i="14" s="1"/>
  <c r="N22" i="14" s="1"/>
  <c r="L12" i="13"/>
  <c r="M12" i="13" s="1"/>
  <c r="N12" i="13" s="1"/>
  <c r="K18" i="13"/>
  <c r="R3" i="13"/>
  <c r="K15" i="13"/>
  <c r="L19" i="13"/>
  <c r="M19" i="13" s="1"/>
  <c r="N19" i="13" s="1"/>
  <c r="L21" i="13"/>
  <c r="M21" i="13" s="1"/>
  <c r="N21" i="13" s="1"/>
  <c r="K17" i="13"/>
  <c r="K22" i="13"/>
  <c r="K20" i="13"/>
  <c r="M14" i="13"/>
  <c r="N14" i="13" s="1"/>
  <c r="M15" i="13"/>
  <c r="N15" i="13" s="1"/>
  <c r="M5" i="13"/>
  <c r="N5" i="13" s="1"/>
  <c r="K6" i="13"/>
  <c r="L13" i="13"/>
  <c r="K11" i="13"/>
  <c r="K4" i="13"/>
  <c r="K16" i="13"/>
  <c r="L10" i="13"/>
  <c r="M10" i="13" s="1"/>
  <c r="N10" i="13" s="1"/>
  <c r="L8" i="13"/>
  <c r="M8" i="13" s="1"/>
  <c r="N8" i="13" s="1"/>
  <c r="L9" i="13"/>
  <c r="M9" i="13" s="1"/>
  <c r="N9" i="13" s="1"/>
  <c r="K3" i="13"/>
  <c r="L2" i="13"/>
  <c r="K5" i="13"/>
  <c r="K14" i="13"/>
  <c r="K7" i="13"/>
  <c r="M4" i="14" l="1"/>
  <c r="N4" i="14" s="1"/>
  <c r="R3" i="14"/>
  <c r="T2" i="14" s="1"/>
  <c r="R2" i="14"/>
  <c r="S2" i="14" s="1"/>
  <c r="R5" i="14"/>
  <c r="V2" i="14" s="1"/>
  <c r="R4" i="14"/>
  <c r="U2" i="14" s="1"/>
  <c r="R5" i="13"/>
  <c r="V2" i="13" s="1"/>
  <c r="M13" i="13"/>
  <c r="N13" i="13" s="1"/>
  <c r="R4" i="13"/>
  <c r="U2" i="13" s="1"/>
  <c r="T2" i="13"/>
  <c r="M2" i="13"/>
  <c r="N2" i="13" s="1"/>
  <c r="R2" i="13"/>
  <c r="S2" i="13" s="1"/>
</calcChain>
</file>

<file path=xl/sharedStrings.xml><?xml version="1.0" encoding="utf-8"?>
<sst xmlns="http://schemas.openxmlformats.org/spreadsheetml/2006/main" count="204" uniqueCount="37">
  <si>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</si>
  <si>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</si>
  <si>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</si>
  <si>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</si>
  <si>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</si>
  <si>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</si>
  <si>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</si>
  <si>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</si>
  <si>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</si>
  <si>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</si>
  <si>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</si>
  <si>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</si>
  <si>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</si>
  <si>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G-A06</t>
  </si>
  <si>
    <t>G-A07</t>
  </si>
  <si>
    <t>G-A16</t>
  </si>
  <si>
    <t>G-A17</t>
  </si>
  <si>
    <t>G-S25</t>
  </si>
  <si>
    <t>G-S25+</t>
  </si>
  <si>
    <t>G-S25-ULTRA</t>
  </si>
  <si>
    <t>G-S24-ULTRA</t>
  </si>
  <si>
    <t>G-A36-5G</t>
  </si>
  <si>
    <t>G-WATCH8</t>
  </si>
  <si>
    <t>G-WATCH8-CLASSIC</t>
  </si>
  <si>
    <t>VITEL W38-W40 VE Sell-Thru Promotion</t>
  </si>
  <si>
    <t>VITEL W38-W40 A36 OM ST Promo</t>
  </si>
  <si>
    <t>VITEL W38-W40 Watch8 Launching ST Promo</t>
  </si>
  <si>
    <t>A0S3A0A250000961</t>
  </si>
  <si>
    <t>A0S3A0A250000952</t>
  </si>
  <si>
    <t>A0S3A0A250000929</t>
  </si>
  <si>
    <t>A0S3A0A250000971</t>
  </si>
  <si>
    <t>W39-W40 Vitel Everup Sell-Thru Promotion</t>
  </si>
  <si>
    <t>G-A16-5G</t>
  </si>
  <si>
    <t>0929</t>
  </si>
  <si>
    <t>0952</t>
  </si>
  <si>
    <t>0961</t>
  </si>
  <si>
    <t>0971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</si>
</sst>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0" fontId="0" fillId="5" borderId="0" xfId="0" quotePrefix="1" applyFill="1"/>
    <xf numFmtId="8" fontId="0" fillId="5" borderId="0" xfId="0" applyNumberFormat="1" applyFill="1"/>
    <xf numFmtId="1" fontId="0" fillId="4" borderId="1" xfId="0" applyNumberFormat="1" applyFill="1" applyBorder="1"/>
    <xf numFmtId="0" fontId="1" fillId="6" borderId="1" xfId="0" applyFont="1" applyFill="1" applyBorder="1"/>
    <xf numFmtId="0" fontId="0" fillId="6" borderId="0" xfId="0" applyFill="1"/>
    <xf numFmtId="8" fontId="0" fillId="6" borderId="0" xfId="0" applyNumberFormat="1" applyFill="1"/>
    <xf numFmtId="44" fontId="0" fillId="6" borderId="0" xfId="0" applyNumberFormat="1" applyFill="1"/>
  </cellXfs>
  <cellStyles count="2">
    <cellStyle name="Currency" xfId="1" builtinId="4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E1A1-2E68-407A-B35B-B2E584A90B0D}">
  <dimension ref="A1:V22"/>
  <sheetViews>
    <sheetView tabSelected="1" workbookViewId="0">
      <selection activeCell="J2" sqref="J2:J22"/>
    </sheetView>
  </sheetViews>
  <sheetFormatPr defaultRowHeight="18" customHeight="1" x14ac:dyDescent="0.2"/>
  <cols>
    <col min="1" max="1" width="20.28515625" bestFit="1" customWidth="1"/>
    <col min="2" max="2" width="37" bestFit="1" customWidth="1"/>
    <col min="3" max="4" width="16.28515625" bestFit="1" customWidth="1"/>
    <col min="5" max="5" width="8.5703125" bestFit="1" customWidth="1"/>
    <col min="6" max="6" width="8.140625" style="10" bestFit="1" customWidth="1"/>
    <col min="7" max="7" width="11.7109375" bestFit="1" customWidth="1"/>
    <col min="8" max="8" width="7.85546875" style="10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8" bestFit="1" customWidth="1"/>
    <col min="17" max="17" width="11.7109375" bestFit="1" customWidth="1"/>
    <col min="18" max="18" width="12.28515625" bestFit="1" customWidth="1"/>
    <col min="19" max="19" width="11.28515625" bestFit="1" customWidth="1"/>
    <col min="20" max="20" width="10.7109375" bestFit="1" customWidth="1"/>
    <col min="21" max="21" width="11.42578125" bestFit="1" customWidth="1"/>
    <col min="22" max="22" width="10.42578125" bestFit="1" customWidth="1"/>
  </cols>
  <sheetData>
    <row r="1" spans="1:22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9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6" t="s">
        <v>12</v>
      </c>
      <c r="S1" s="13" t="s">
        <v>33</v>
      </c>
      <c r="T1" s="14" t="s">
        <v>34</v>
      </c>
      <c r="U1" s="13" t="s">
        <v>35</v>
      </c>
      <c r="V1" s="14" t="s">
        <v>36</v>
      </c>
    </row>
    <row r="2" spans="1:22" ht="18" customHeight="1" x14ac:dyDescent="0.2">
      <c r="A2" s="2" t="s">
        <v>29</v>
      </c>
      <c r="B2" s="2" t="s">
        <v>26</v>
      </c>
      <c r="C2" s="2" t="s">
        <v>22</v>
      </c>
      <c r="D2" s="2" t="s">
        <v>22</v>
      </c>
      <c r="E2" s="3">
        <v>43</v>
      </c>
      <c r="F2" s="16">
        <v>1152</v>
      </c>
      <c r="G2" s="3">
        <v>49536</v>
      </c>
      <c r="H2" s="4">
        <v>205</v>
      </c>
      <c r="I2" s="4"/>
      <c r="J2" s="4">
        <f t="shared" ref="J2:J16" si="0">H2+I2</f>
        <v>205</v>
      </c>
      <c r="K2" s="4">
        <f t="shared" ref="K2:K16" si="1">F2-J2</f>
        <v>947</v>
      </c>
      <c r="L2" s="5">
        <f t="shared" ref="L2:L16" si="2">J2*E2</f>
        <v>8815</v>
      </c>
      <c r="M2" s="5">
        <f t="shared" ref="M2:M16" si="3">G2-L2</f>
        <v>40721</v>
      </c>
      <c r="N2" s="17" t="str">
        <f t="shared" ref="N2:N16" si="4">IF(M2&gt;0,"KEEP SELLING", "DO NOT SELL")</f>
        <v>KEEP SELLING</v>
      </c>
      <c r="O2" s="10"/>
      <c r="P2" s="10"/>
      <c r="Q2" s="12">
        <f>SUM(G2:G4)</f>
        <v>173286</v>
      </c>
      <c r="R2" s="11">
        <f>SUM(L2:L4)</f>
        <v>109424</v>
      </c>
      <c r="S2" s="15">
        <f>Q2-R2</f>
        <v>63862</v>
      </c>
      <c r="T2" s="15">
        <f>Q3-R3</f>
        <v>-4425</v>
      </c>
      <c r="U2" s="15">
        <f>Q4-R4</f>
        <v>135770</v>
      </c>
      <c r="V2" s="15">
        <f>Q5-R5</f>
        <v>80240</v>
      </c>
    </row>
    <row r="3" spans="1:22" ht="18" customHeight="1" x14ac:dyDescent="0.2">
      <c r="A3" s="2" t="s">
        <v>29</v>
      </c>
      <c r="B3" s="2" t="s">
        <v>26</v>
      </c>
      <c r="C3" s="2" t="s">
        <v>23</v>
      </c>
      <c r="D3" s="2" t="s">
        <v>23</v>
      </c>
      <c r="E3" s="3">
        <v>77</v>
      </c>
      <c r="F3" s="16">
        <v>475</v>
      </c>
      <c r="G3" s="3">
        <v>36575</v>
      </c>
      <c r="H3" s="4">
        <v>117</v>
      </c>
      <c r="I3" s="4"/>
      <c r="J3" s="4">
        <f t="shared" si="0"/>
        <v>117</v>
      </c>
      <c r="K3" s="4">
        <f t="shared" si="1"/>
        <v>358</v>
      </c>
      <c r="L3" s="5">
        <f t="shared" si="2"/>
        <v>9009</v>
      </c>
      <c r="M3" s="5">
        <f t="shared" si="3"/>
        <v>27566</v>
      </c>
      <c r="N3" s="17" t="str">
        <f t="shared" si="4"/>
        <v>KEEP SELLING</v>
      </c>
      <c r="O3" s="10"/>
      <c r="P3" s="10"/>
      <c r="Q3" s="12">
        <f>SUM(G4)</f>
        <v>87175</v>
      </c>
      <c r="R3" s="11">
        <f>SUM(L4)</f>
        <v>91600</v>
      </c>
    </row>
    <row r="4" spans="1:22" ht="18" customHeight="1" x14ac:dyDescent="0.2">
      <c r="A4" s="2" t="s">
        <v>28</v>
      </c>
      <c r="B4" s="2" t="s">
        <v>25</v>
      </c>
      <c r="C4" s="2" t="s">
        <v>21</v>
      </c>
      <c r="D4" s="2" t="s">
        <v>21</v>
      </c>
      <c r="E4" s="3">
        <v>25</v>
      </c>
      <c r="F4" s="16">
        <v>3487</v>
      </c>
      <c r="G4" s="3">
        <v>87175</v>
      </c>
      <c r="H4" s="4">
        <v>3654</v>
      </c>
      <c r="I4" s="4">
        <v>10</v>
      </c>
      <c r="J4" s="4">
        <f t="shared" si="0"/>
        <v>3664</v>
      </c>
      <c r="K4" s="4">
        <f t="shared" si="1"/>
        <v>-177</v>
      </c>
      <c r="L4" s="5">
        <f t="shared" si="2"/>
        <v>91600</v>
      </c>
      <c r="M4" s="5">
        <f t="shared" si="3"/>
        <v>-4425</v>
      </c>
      <c r="N4" s="17" t="str">
        <f t="shared" si="4"/>
        <v>DO NOT SELL</v>
      </c>
      <c r="O4" s="10"/>
      <c r="P4" s="10"/>
      <c r="Q4" s="12">
        <f>SUM(G5:G13)</f>
        <v>179760</v>
      </c>
      <c r="R4" s="11">
        <f>SUM(L5:L13)</f>
        <v>43990</v>
      </c>
    </row>
    <row r="5" spans="1:22" s="18" customFormat="1" ht="18" customHeight="1" x14ac:dyDescent="0.2">
      <c r="A5" s="2" t="s">
        <v>27</v>
      </c>
      <c r="B5" s="2" t="s">
        <v>24</v>
      </c>
      <c r="C5" s="2" t="s">
        <v>13</v>
      </c>
      <c r="D5" s="2" t="s">
        <v>13</v>
      </c>
      <c r="E5" s="3">
        <v>10</v>
      </c>
      <c r="F5" s="16">
        <v>1151</v>
      </c>
      <c r="G5" s="3">
        <v>11510</v>
      </c>
      <c r="H5" s="4">
        <v>370</v>
      </c>
      <c r="I5" s="4"/>
      <c r="J5" s="4">
        <f t="shared" si="0"/>
        <v>370</v>
      </c>
      <c r="K5" s="4">
        <f t="shared" si="1"/>
        <v>781</v>
      </c>
      <c r="L5" s="5">
        <f t="shared" si="2"/>
        <v>3700</v>
      </c>
      <c r="M5" s="5">
        <f t="shared" si="3"/>
        <v>7810</v>
      </c>
      <c r="N5" s="17" t="str">
        <f t="shared" si="4"/>
        <v>KEEP SELLING</v>
      </c>
      <c r="O5" s="10"/>
      <c r="P5" s="10"/>
      <c r="Q5" s="12">
        <f>SUM(G14:G22)</f>
        <v>89940</v>
      </c>
      <c r="R5" s="11">
        <f>SUM(L14:L22)</f>
        <v>9700</v>
      </c>
    </row>
    <row r="6" spans="1:22" s="18" customFormat="1" ht="18" customHeight="1" x14ac:dyDescent="0.2">
      <c r="A6" s="2" t="s">
        <v>27</v>
      </c>
      <c r="B6" s="2" t="s">
        <v>24</v>
      </c>
      <c r="C6" s="2" t="s">
        <v>14</v>
      </c>
      <c r="D6" s="2" t="s">
        <v>14</v>
      </c>
      <c r="E6" s="3">
        <v>10</v>
      </c>
      <c r="F6" s="16">
        <v>3536</v>
      </c>
      <c r="G6" s="3">
        <v>35360</v>
      </c>
      <c r="H6" s="4">
        <v>530</v>
      </c>
      <c r="I6" s="4"/>
      <c r="J6" s="4">
        <f t="shared" si="0"/>
        <v>530</v>
      </c>
      <c r="K6" s="4">
        <f t="shared" si="1"/>
        <v>3006</v>
      </c>
      <c r="L6" s="5">
        <f t="shared" si="2"/>
        <v>5300</v>
      </c>
      <c r="M6" s="5">
        <f t="shared" si="3"/>
        <v>30060</v>
      </c>
      <c r="N6" s="17" t="str">
        <f t="shared" si="4"/>
        <v>KEEP SELLING</v>
      </c>
      <c r="O6" s="10"/>
      <c r="P6" s="10"/>
      <c r="Q6" s="19"/>
      <c r="R6" s="20"/>
    </row>
    <row r="7" spans="1:22" s="18" customFormat="1" ht="18" customHeight="1" x14ac:dyDescent="0.2">
      <c r="A7" s="2" t="s">
        <v>27</v>
      </c>
      <c r="B7" s="2" t="s">
        <v>24</v>
      </c>
      <c r="C7" s="2" t="s">
        <v>15</v>
      </c>
      <c r="D7" s="2" t="s">
        <v>15</v>
      </c>
      <c r="E7" s="3">
        <v>10</v>
      </c>
      <c r="F7" s="16">
        <v>4481</v>
      </c>
      <c r="G7" s="3">
        <v>44810</v>
      </c>
      <c r="H7" s="4">
        <v>1284</v>
      </c>
      <c r="I7" s="4">
        <v>500</v>
      </c>
      <c r="J7" s="4">
        <f t="shared" si="0"/>
        <v>1784</v>
      </c>
      <c r="K7" s="4">
        <f t="shared" si="1"/>
        <v>2697</v>
      </c>
      <c r="L7" s="5">
        <f t="shared" si="2"/>
        <v>17840</v>
      </c>
      <c r="M7" s="5">
        <f t="shared" si="3"/>
        <v>26970</v>
      </c>
      <c r="N7" s="7" t="str">
        <f t="shared" si="4"/>
        <v>KEEP SELLING</v>
      </c>
      <c r="O7" s="10"/>
      <c r="P7" s="10"/>
      <c r="Q7" s="19"/>
      <c r="R7" s="20"/>
    </row>
    <row r="8" spans="1:22" s="18" customFormat="1" ht="18" customHeight="1" x14ac:dyDescent="0.2">
      <c r="A8" s="2" t="s">
        <v>27</v>
      </c>
      <c r="B8" s="2" t="s">
        <v>24</v>
      </c>
      <c r="C8" s="2" t="s">
        <v>32</v>
      </c>
      <c r="D8" s="2" t="s">
        <v>32</v>
      </c>
      <c r="E8" s="3">
        <v>5</v>
      </c>
      <c r="F8" s="16">
        <v>500</v>
      </c>
      <c r="G8" s="3">
        <v>2500</v>
      </c>
      <c r="H8" s="4"/>
      <c r="I8" s="4"/>
      <c r="J8" s="4">
        <f t="shared" si="0"/>
        <v>0</v>
      </c>
      <c r="K8" s="4">
        <f t="shared" si="1"/>
        <v>500</v>
      </c>
      <c r="L8" s="5">
        <f t="shared" si="2"/>
        <v>0</v>
      </c>
      <c r="M8" s="5">
        <f t="shared" si="3"/>
        <v>2500</v>
      </c>
      <c r="N8" s="7" t="str">
        <f t="shared" si="4"/>
        <v>KEEP SELLING</v>
      </c>
      <c r="O8" s="10"/>
      <c r="P8" s="10"/>
      <c r="Q8" s="19"/>
      <c r="R8" s="20"/>
    </row>
    <row r="9" spans="1:22" s="18" customFormat="1" ht="18" customHeight="1" x14ac:dyDescent="0.2">
      <c r="A9" s="2" t="s">
        <v>27</v>
      </c>
      <c r="B9" s="2" t="s">
        <v>24</v>
      </c>
      <c r="C9" s="2" t="s">
        <v>16</v>
      </c>
      <c r="D9" s="2" t="s">
        <v>16</v>
      </c>
      <c r="E9" s="3">
        <v>10</v>
      </c>
      <c r="F9" s="16">
        <v>2177</v>
      </c>
      <c r="G9" s="3">
        <v>21770</v>
      </c>
      <c r="H9" s="4">
        <v>743</v>
      </c>
      <c r="I9" s="4">
        <v>100</v>
      </c>
      <c r="J9" s="4">
        <f t="shared" si="0"/>
        <v>843</v>
      </c>
      <c r="K9" s="4">
        <f t="shared" si="1"/>
        <v>1334</v>
      </c>
      <c r="L9" s="5">
        <f t="shared" si="2"/>
        <v>8430</v>
      </c>
      <c r="M9" s="5">
        <f t="shared" si="3"/>
        <v>13340</v>
      </c>
      <c r="N9" s="7" t="str">
        <f t="shared" si="4"/>
        <v>KEEP SELLING</v>
      </c>
      <c r="O9" s="10"/>
      <c r="P9" s="10"/>
    </row>
    <row r="10" spans="1:22" ht="18" customHeight="1" x14ac:dyDescent="0.2">
      <c r="A10" s="2" t="s">
        <v>27</v>
      </c>
      <c r="B10" s="2" t="s">
        <v>24</v>
      </c>
      <c r="C10" s="2" t="s">
        <v>20</v>
      </c>
      <c r="D10" s="2" t="s">
        <v>20</v>
      </c>
      <c r="E10" s="3">
        <v>30</v>
      </c>
      <c r="F10" s="16">
        <v>129</v>
      </c>
      <c r="G10" s="3">
        <v>3870</v>
      </c>
      <c r="H10" s="4"/>
      <c r="I10" s="4"/>
      <c r="J10" s="4">
        <f t="shared" si="0"/>
        <v>0</v>
      </c>
      <c r="K10" s="4">
        <f t="shared" si="1"/>
        <v>129</v>
      </c>
      <c r="L10" s="5">
        <f t="shared" si="2"/>
        <v>0</v>
      </c>
      <c r="M10" s="5">
        <f t="shared" si="3"/>
        <v>3870</v>
      </c>
      <c r="N10" s="7" t="str">
        <f t="shared" si="4"/>
        <v>KEEP SELLING</v>
      </c>
      <c r="O10" s="10"/>
      <c r="P10" s="10"/>
    </row>
    <row r="11" spans="1:22" ht="24" customHeight="1" x14ac:dyDescent="0.2">
      <c r="A11" s="2" t="s">
        <v>27</v>
      </c>
      <c r="B11" s="2" t="s">
        <v>24</v>
      </c>
      <c r="C11" s="2" t="s">
        <v>17</v>
      </c>
      <c r="D11" s="2" t="s">
        <v>17</v>
      </c>
      <c r="E11" s="3">
        <v>30</v>
      </c>
      <c r="F11" s="16">
        <v>133</v>
      </c>
      <c r="G11" s="3">
        <v>3990</v>
      </c>
      <c r="H11" s="4"/>
      <c r="I11" s="4"/>
      <c r="J11" s="4">
        <f t="shared" si="0"/>
        <v>0</v>
      </c>
      <c r="K11" s="4">
        <f t="shared" si="1"/>
        <v>133</v>
      </c>
      <c r="L11" s="5">
        <f t="shared" si="2"/>
        <v>0</v>
      </c>
      <c r="M11" s="5">
        <f t="shared" si="3"/>
        <v>3990</v>
      </c>
      <c r="N11" s="7" t="str">
        <f t="shared" si="4"/>
        <v>KEEP SELLING</v>
      </c>
      <c r="O11" s="10"/>
      <c r="P11" s="10"/>
    </row>
    <row r="12" spans="1:22" ht="18" customHeight="1" x14ac:dyDescent="0.2">
      <c r="A12" s="2" t="s">
        <v>27</v>
      </c>
      <c r="B12" s="2" t="s">
        <v>24</v>
      </c>
      <c r="C12" s="2" t="s">
        <v>18</v>
      </c>
      <c r="D12" s="2" t="s">
        <v>18</v>
      </c>
      <c r="E12" s="3">
        <v>30</v>
      </c>
      <c r="F12" s="16">
        <v>105</v>
      </c>
      <c r="G12" s="3">
        <v>3150</v>
      </c>
      <c r="H12" s="4"/>
      <c r="I12" s="4"/>
      <c r="J12" s="4">
        <f t="shared" si="0"/>
        <v>0</v>
      </c>
      <c r="K12" s="4">
        <f t="shared" si="1"/>
        <v>105</v>
      </c>
      <c r="L12" s="5">
        <f t="shared" si="2"/>
        <v>0</v>
      </c>
      <c r="M12" s="5">
        <f t="shared" si="3"/>
        <v>3150</v>
      </c>
      <c r="N12" s="7" t="str">
        <f t="shared" si="4"/>
        <v>KEEP SELLING</v>
      </c>
      <c r="O12" s="10"/>
      <c r="P12" s="10"/>
    </row>
    <row r="13" spans="1:22" ht="25.5" customHeight="1" x14ac:dyDescent="0.2">
      <c r="A13" s="2" t="s">
        <v>27</v>
      </c>
      <c r="B13" s="2" t="s">
        <v>24</v>
      </c>
      <c r="C13" s="2" t="s">
        <v>19</v>
      </c>
      <c r="D13" s="2" t="s">
        <v>19</v>
      </c>
      <c r="E13" s="3">
        <v>80</v>
      </c>
      <c r="F13" s="16">
        <v>660</v>
      </c>
      <c r="G13" s="3">
        <v>52800</v>
      </c>
      <c r="H13" s="4">
        <v>25</v>
      </c>
      <c r="I13" s="4">
        <v>84</v>
      </c>
      <c r="J13" s="4">
        <f t="shared" si="0"/>
        <v>109</v>
      </c>
      <c r="K13" s="4">
        <f t="shared" si="1"/>
        <v>551</v>
      </c>
      <c r="L13" s="5">
        <f t="shared" si="2"/>
        <v>8720</v>
      </c>
      <c r="M13" s="5">
        <f t="shared" si="3"/>
        <v>44080</v>
      </c>
      <c r="N13" s="7" t="str">
        <f t="shared" si="4"/>
        <v>KEEP SELLING</v>
      </c>
      <c r="O13" s="10"/>
      <c r="P13" s="10"/>
    </row>
    <row r="14" spans="1:22" ht="18" customHeight="1" x14ac:dyDescent="0.2">
      <c r="A14" s="2" t="s">
        <v>30</v>
      </c>
      <c r="B14" s="2" t="s">
        <v>31</v>
      </c>
      <c r="C14" s="2" t="s">
        <v>13</v>
      </c>
      <c r="D14" s="2" t="s">
        <v>13</v>
      </c>
      <c r="E14" s="3">
        <v>10</v>
      </c>
      <c r="F14" s="16">
        <v>576</v>
      </c>
      <c r="G14" s="3">
        <v>5760</v>
      </c>
      <c r="H14" s="4"/>
      <c r="I14" s="4"/>
      <c r="J14" s="4">
        <f t="shared" si="0"/>
        <v>0</v>
      </c>
      <c r="K14" s="4">
        <f t="shared" si="1"/>
        <v>576</v>
      </c>
      <c r="L14" s="5">
        <f t="shared" si="2"/>
        <v>0</v>
      </c>
      <c r="M14" s="5">
        <f t="shared" si="3"/>
        <v>5760</v>
      </c>
      <c r="N14" s="7" t="str">
        <f t="shared" si="4"/>
        <v>KEEP SELLING</v>
      </c>
      <c r="O14" s="10"/>
      <c r="P14" s="10"/>
    </row>
    <row r="15" spans="1:22" ht="18" customHeight="1" x14ac:dyDescent="0.2">
      <c r="A15" s="2" t="s">
        <v>30</v>
      </c>
      <c r="B15" s="2" t="s">
        <v>31</v>
      </c>
      <c r="C15" s="2" t="s">
        <v>14</v>
      </c>
      <c r="D15" s="2" t="s">
        <v>14</v>
      </c>
      <c r="E15" s="3">
        <v>10</v>
      </c>
      <c r="F15" s="16">
        <v>1768</v>
      </c>
      <c r="G15" s="3">
        <v>17680</v>
      </c>
      <c r="H15" s="4"/>
      <c r="I15" s="4"/>
      <c r="J15" s="4">
        <f t="shared" si="0"/>
        <v>0</v>
      </c>
      <c r="K15" s="4">
        <f t="shared" si="1"/>
        <v>1768</v>
      </c>
      <c r="L15" s="5">
        <f t="shared" si="2"/>
        <v>0</v>
      </c>
      <c r="M15" s="5">
        <f t="shared" si="3"/>
        <v>17680</v>
      </c>
      <c r="N15" s="7" t="str">
        <f t="shared" si="4"/>
        <v>KEEP SELLING</v>
      </c>
      <c r="O15" s="10"/>
      <c r="P15" s="10"/>
    </row>
    <row r="16" spans="1:22" ht="18" customHeight="1" x14ac:dyDescent="0.2">
      <c r="A16" s="2" t="s">
        <v>30</v>
      </c>
      <c r="B16" s="2" t="s">
        <v>31</v>
      </c>
      <c r="C16" s="2" t="s">
        <v>15</v>
      </c>
      <c r="D16" s="2" t="s">
        <v>15</v>
      </c>
      <c r="E16" s="3">
        <v>10</v>
      </c>
      <c r="F16" s="16">
        <v>2241</v>
      </c>
      <c r="G16" s="3">
        <v>22410</v>
      </c>
      <c r="H16" s="4">
        <v>700</v>
      </c>
      <c r="I16" s="4"/>
      <c r="J16" s="4">
        <f t="shared" si="0"/>
        <v>700</v>
      </c>
      <c r="K16" s="4">
        <f t="shared" si="1"/>
        <v>1541</v>
      </c>
      <c r="L16" s="5">
        <f t="shared" si="2"/>
        <v>7000</v>
      </c>
      <c r="M16" s="5">
        <f t="shared" si="3"/>
        <v>15410</v>
      </c>
      <c r="N16" s="7" t="str">
        <f t="shared" si="4"/>
        <v>KEEP SELLING</v>
      </c>
      <c r="O16" s="10"/>
      <c r="P16" s="10"/>
    </row>
    <row r="17" spans="1:16" ht="18" customHeight="1" x14ac:dyDescent="0.2">
      <c r="A17" s="2" t="s">
        <v>30</v>
      </c>
      <c r="B17" s="2" t="s">
        <v>31</v>
      </c>
      <c r="C17" s="2" t="s">
        <v>32</v>
      </c>
      <c r="D17" s="2" t="s">
        <v>32</v>
      </c>
      <c r="E17" s="3">
        <v>5</v>
      </c>
      <c r="F17" s="16">
        <v>250</v>
      </c>
      <c r="G17" s="3">
        <v>1250</v>
      </c>
      <c r="H17" s="4"/>
      <c r="I17" s="4"/>
      <c r="J17" s="4">
        <f t="shared" ref="J17:J22" si="5">H17+I17</f>
        <v>0</v>
      </c>
      <c r="K17" s="4">
        <f t="shared" ref="K17:K22" si="6">F17-J17</f>
        <v>250</v>
      </c>
      <c r="L17" s="5">
        <f t="shared" ref="L17:L22" si="7">J17*E17</f>
        <v>0</v>
      </c>
      <c r="M17" s="5">
        <f t="shared" ref="M17:M22" si="8">G17-L17</f>
        <v>1250</v>
      </c>
      <c r="N17" s="7" t="str">
        <f t="shared" ref="N17:N22" si="9">IF(M17&gt;0,"KEEP SELLING", "DO NOT SELL")</f>
        <v>KEEP SELLING</v>
      </c>
      <c r="O17" s="10"/>
      <c r="P17" s="10"/>
    </row>
    <row r="18" spans="1:16" ht="18" customHeight="1" x14ac:dyDescent="0.2">
      <c r="A18" s="2" t="s">
        <v>30</v>
      </c>
      <c r="B18" s="2" t="s">
        <v>31</v>
      </c>
      <c r="C18" s="2" t="s">
        <v>16</v>
      </c>
      <c r="D18" s="2" t="s">
        <v>16</v>
      </c>
      <c r="E18" s="3">
        <v>10</v>
      </c>
      <c r="F18" s="16">
        <v>1089</v>
      </c>
      <c r="G18" s="3">
        <v>10890</v>
      </c>
      <c r="H18" s="4">
        <v>30</v>
      </c>
      <c r="I18" s="4"/>
      <c r="J18" s="4">
        <f t="shared" si="5"/>
        <v>30</v>
      </c>
      <c r="K18" s="4">
        <f t="shared" si="6"/>
        <v>1059</v>
      </c>
      <c r="L18" s="5">
        <f t="shared" si="7"/>
        <v>300</v>
      </c>
      <c r="M18" s="5">
        <f t="shared" si="8"/>
        <v>10590</v>
      </c>
      <c r="N18" s="7" t="str">
        <f t="shared" si="9"/>
        <v>KEEP SELLING</v>
      </c>
      <c r="O18" s="10"/>
      <c r="P18" s="10"/>
    </row>
    <row r="19" spans="1:16" ht="18" customHeight="1" x14ac:dyDescent="0.2">
      <c r="A19" s="2" t="s">
        <v>30</v>
      </c>
      <c r="B19" s="2" t="s">
        <v>31</v>
      </c>
      <c r="C19" s="2" t="s">
        <v>20</v>
      </c>
      <c r="D19" s="2" t="s">
        <v>20</v>
      </c>
      <c r="E19" s="3">
        <v>30</v>
      </c>
      <c r="F19" s="16">
        <v>65</v>
      </c>
      <c r="G19" s="3">
        <v>1950</v>
      </c>
      <c r="H19" s="4"/>
      <c r="I19" s="4"/>
      <c r="J19" s="4">
        <f t="shared" si="5"/>
        <v>0</v>
      </c>
      <c r="K19" s="4">
        <f t="shared" si="6"/>
        <v>65</v>
      </c>
      <c r="L19" s="5">
        <f t="shared" si="7"/>
        <v>0</v>
      </c>
      <c r="M19" s="5">
        <f t="shared" si="8"/>
        <v>1950</v>
      </c>
      <c r="N19" s="7" t="str">
        <f t="shared" si="9"/>
        <v>KEEP SELLING</v>
      </c>
      <c r="O19" s="10"/>
      <c r="P19" s="10"/>
    </row>
    <row r="20" spans="1:16" ht="18" customHeight="1" x14ac:dyDescent="0.2">
      <c r="A20" s="2" t="s">
        <v>30</v>
      </c>
      <c r="B20" s="2" t="s">
        <v>31</v>
      </c>
      <c r="C20" s="2" t="s">
        <v>17</v>
      </c>
      <c r="D20" s="2" t="s">
        <v>17</v>
      </c>
      <c r="E20" s="3">
        <v>30</v>
      </c>
      <c r="F20" s="16">
        <v>67</v>
      </c>
      <c r="G20" s="3">
        <v>2010</v>
      </c>
      <c r="H20" s="4"/>
      <c r="I20" s="4"/>
      <c r="J20" s="4">
        <f t="shared" si="5"/>
        <v>0</v>
      </c>
      <c r="K20" s="4">
        <f t="shared" si="6"/>
        <v>67</v>
      </c>
      <c r="L20" s="5">
        <f t="shared" si="7"/>
        <v>0</v>
      </c>
      <c r="M20" s="5">
        <f t="shared" si="8"/>
        <v>2010</v>
      </c>
      <c r="N20" s="7" t="str">
        <f t="shared" si="9"/>
        <v>KEEP SELLING</v>
      </c>
      <c r="O20" s="10"/>
      <c r="P20" s="10"/>
    </row>
    <row r="21" spans="1:16" ht="18" customHeight="1" x14ac:dyDescent="0.2">
      <c r="A21" s="2" t="s">
        <v>30</v>
      </c>
      <c r="B21" s="2" t="s">
        <v>31</v>
      </c>
      <c r="C21" s="2" t="s">
        <v>18</v>
      </c>
      <c r="D21" s="2" t="s">
        <v>18</v>
      </c>
      <c r="E21" s="3">
        <v>30</v>
      </c>
      <c r="F21" s="16">
        <v>53</v>
      </c>
      <c r="G21" s="3">
        <v>1590</v>
      </c>
      <c r="H21" s="4"/>
      <c r="I21" s="4"/>
      <c r="J21" s="4">
        <f t="shared" si="5"/>
        <v>0</v>
      </c>
      <c r="K21" s="4">
        <f t="shared" si="6"/>
        <v>53</v>
      </c>
      <c r="L21" s="5">
        <f t="shared" si="7"/>
        <v>0</v>
      </c>
      <c r="M21" s="5">
        <f t="shared" si="8"/>
        <v>1590</v>
      </c>
      <c r="N21" s="7" t="str">
        <f t="shared" si="9"/>
        <v>KEEP SELLING</v>
      </c>
      <c r="O21" s="10"/>
      <c r="P21" s="10"/>
    </row>
    <row r="22" spans="1:16" ht="18" customHeight="1" x14ac:dyDescent="0.2">
      <c r="A22" s="2" t="s">
        <v>30</v>
      </c>
      <c r="B22" s="2" t="s">
        <v>31</v>
      </c>
      <c r="C22" s="2" t="s">
        <v>19</v>
      </c>
      <c r="D22" s="2" t="s">
        <v>19</v>
      </c>
      <c r="E22" s="3">
        <v>80</v>
      </c>
      <c r="F22" s="16">
        <v>330</v>
      </c>
      <c r="G22" s="3">
        <v>26400</v>
      </c>
      <c r="H22" s="4">
        <v>30</v>
      </c>
      <c r="I22" s="4"/>
      <c r="J22" s="4">
        <f t="shared" si="5"/>
        <v>30</v>
      </c>
      <c r="K22" s="4">
        <f t="shared" si="6"/>
        <v>300</v>
      </c>
      <c r="L22" s="5">
        <f t="shared" si="7"/>
        <v>2400</v>
      </c>
      <c r="M22" s="5">
        <f t="shared" si="8"/>
        <v>24000</v>
      </c>
      <c r="N22" s="7" t="str">
        <f t="shared" si="9"/>
        <v>KEEP SELLING</v>
      </c>
      <c r="O22" s="10"/>
      <c r="P22" s="10"/>
    </row>
  </sheetData>
  <conditionalFormatting sqref="H2:I22 K2:N22">
    <cfRule type="cellIs" dxfId="5" priority="1" operator="lessThan">
      <formula>0</formula>
    </cfRule>
  </conditionalFormatting>
  <conditionalFormatting sqref="N1:N1048576">
    <cfRule type="containsText" dxfId="4" priority="3" operator="containsText" text="DO NOT SELL">
      <formula>NOT(ISERROR(SEARCH("DO NOT SELL",N1)))</formula>
    </cfRule>
    <cfRule type="containsText" dxfId="3" priority="4" operator="containsText" text="KEEP SELLING">
      <formula>NOT(ISERROR(SEARCH("KEEP SELLING",N1)))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281E-8B1D-4791-84E0-1439D8040E61}">
  <dimension ref="A1:V22"/>
  <sheetViews>
    <sheetView workbookViewId="0">
      <selection activeCell="O9" sqref="O9"/>
    </sheetView>
  </sheetViews>
  <sheetFormatPr defaultRowHeight="18" customHeight="1" x14ac:dyDescent="0.2"/>
  <cols>
    <col min="1" max="1" width="20.28515625" bestFit="1" customWidth="1"/>
    <col min="2" max="2" width="37" bestFit="1" customWidth="1"/>
    <col min="3" max="4" width="16.28515625" bestFit="1" customWidth="1"/>
    <col min="5" max="5" width="8.5703125" bestFit="1" customWidth="1"/>
    <col min="6" max="6" width="8.140625" style="10" bestFit="1" customWidth="1"/>
    <col min="7" max="7" width="11.7109375" bestFit="1" customWidth="1"/>
    <col min="8" max="8" width="7.85546875" style="10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8" bestFit="1" customWidth="1"/>
    <col min="17" max="17" width="11.7109375" bestFit="1" customWidth="1"/>
    <col min="18" max="18" width="12.28515625" bestFit="1" customWidth="1"/>
    <col min="19" max="19" width="11.28515625" bestFit="1" customWidth="1"/>
    <col min="20" max="20" width="10.7109375" bestFit="1" customWidth="1"/>
    <col min="21" max="21" width="11.42578125" bestFit="1" customWidth="1"/>
    <col min="22" max="22" width="10.42578125" bestFit="1" customWidth="1"/>
  </cols>
  <sheetData>
    <row r="1" spans="1:22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9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6" t="s">
        <v>12</v>
      </c>
      <c r="S1" s="13" t="s">
        <v>33</v>
      </c>
      <c r="T1" s="14" t="s">
        <v>34</v>
      </c>
      <c r="U1" s="13" t="s">
        <v>35</v>
      </c>
      <c r="V1" s="14" t="s">
        <v>36</v>
      </c>
    </row>
    <row r="2" spans="1:22" ht="18" customHeight="1" x14ac:dyDescent="0.2">
      <c r="A2" s="2" t="s">
        <v>29</v>
      </c>
      <c r="B2" s="2" t="s">
        <v>26</v>
      </c>
      <c r="C2" s="2" t="s">
        <v>22</v>
      </c>
      <c r="D2" s="2" t="s">
        <v>22</v>
      </c>
      <c r="E2" s="3">
        <v>43</v>
      </c>
      <c r="F2" s="16">
        <v>1152</v>
      </c>
      <c r="G2" s="3">
        <v>49536</v>
      </c>
      <c r="H2" s="4">
        <v>205</v>
      </c>
      <c r="I2" s="4"/>
      <c r="J2" s="4">
        <f t="shared" ref="J2:J22" si="0">H2+I2</f>
        <v>205</v>
      </c>
      <c r="K2" s="4">
        <f t="shared" ref="K2:K22" si="1">F2-J2</f>
        <v>947</v>
      </c>
      <c r="L2" s="5">
        <f t="shared" ref="L2:L22" si="2">J2*E2</f>
        <v>8815</v>
      </c>
      <c r="M2" s="5">
        <f t="shared" ref="M2:M22" si="3">G2-L2</f>
        <v>40721</v>
      </c>
      <c r="N2" s="17" t="str">
        <f t="shared" ref="N2:N22" si="4">IF(M2&gt;0,"KEEP SELLING", "DO NOT SELL")</f>
        <v>KEEP SELLING</v>
      </c>
      <c r="O2" s="10"/>
      <c r="P2" s="10"/>
      <c r="Q2" s="12">
        <f>SUM(G2:G4)</f>
        <v>173286</v>
      </c>
      <c r="R2" s="11">
        <f>SUM(L2:L4)</f>
        <v>109424</v>
      </c>
      <c r="S2" s="15">
        <f>Q2-R2</f>
        <v>63862</v>
      </c>
      <c r="T2" s="15">
        <f>Q3-R3</f>
        <v>-4425</v>
      </c>
      <c r="U2" s="15">
        <f>Q4-R4</f>
        <v>143970</v>
      </c>
      <c r="V2" s="15">
        <f>Q5-R5</f>
        <v>80240</v>
      </c>
    </row>
    <row r="3" spans="1:22" ht="18" customHeight="1" x14ac:dyDescent="0.2">
      <c r="A3" s="2" t="s">
        <v>29</v>
      </c>
      <c r="B3" s="2" t="s">
        <v>26</v>
      </c>
      <c r="C3" s="2" t="s">
        <v>23</v>
      </c>
      <c r="D3" s="2" t="s">
        <v>23</v>
      </c>
      <c r="E3" s="3">
        <v>77</v>
      </c>
      <c r="F3" s="16">
        <v>475</v>
      </c>
      <c r="G3" s="3">
        <v>36575</v>
      </c>
      <c r="H3" s="4">
        <v>117</v>
      </c>
      <c r="I3" s="4"/>
      <c r="J3" s="4">
        <f t="shared" si="0"/>
        <v>117</v>
      </c>
      <c r="K3" s="4">
        <f t="shared" si="1"/>
        <v>358</v>
      </c>
      <c r="L3" s="5">
        <f t="shared" si="2"/>
        <v>9009</v>
      </c>
      <c r="M3" s="5">
        <f t="shared" si="3"/>
        <v>27566</v>
      </c>
      <c r="N3" s="17" t="str">
        <f t="shared" si="4"/>
        <v>KEEP SELLING</v>
      </c>
      <c r="O3" s="10"/>
      <c r="P3" s="10"/>
      <c r="Q3" s="12">
        <f>SUM(G4)</f>
        <v>87175</v>
      </c>
      <c r="R3" s="11">
        <f>SUM(L4)</f>
        <v>91600</v>
      </c>
    </row>
    <row r="4" spans="1:22" ht="18" customHeight="1" x14ac:dyDescent="0.2">
      <c r="A4" s="2" t="s">
        <v>28</v>
      </c>
      <c r="B4" s="2" t="s">
        <v>25</v>
      </c>
      <c r="C4" s="2" t="s">
        <v>21</v>
      </c>
      <c r="D4" s="2" t="s">
        <v>21</v>
      </c>
      <c r="E4" s="3">
        <v>25</v>
      </c>
      <c r="F4" s="16">
        <v>3487</v>
      </c>
      <c r="G4" s="3">
        <v>87175</v>
      </c>
      <c r="H4" s="4">
        <v>3654</v>
      </c>
      <c r="I4" s="4">
        <v>10</v>
      </c>
      <c r="J4" s="4">
        <f t="shared" si="0"/>
        <v>3664</v>
      </c>
      <c r="K4" s="4">
        <f t="shared" si="1"/>
        <v>-177</v>
      </c>
      <c r="L4" s="5">
        <f t="shared" si="2"/>
        <v>91600</v>
      </c>
      <c r="M4" s="5">
        <f t="shared" si="3"/>
        <v>-4425</v>
      </c>
      <c r="N4" s="17" t="str">
        <f t="shared" si="4"/>
        <v>DO NOT SELL</v>
      </c>
      <c r="O4" s="10"/>
      <c r="P4" s="10"/>
      <c r="Q4" s="12">
        <f>SUM(G5:G13)</f>
        <v>179760</v>
      </c>
      <c r="R4" s="11">
        <f>SUM(L5:L13)</f>
        <v>35790</v>
      </c>
    </row>
    <row r="5" spans="1:22" s="18" customFormat="1" ht="18" customHeight="1" x14ac:dyDescent="0.2">
      <c r="A5" s="2" t="s">
        <v>27</v>
      </c>
      <c r="B5" s="2" t="s">
        <v>24</v>
      </c>
      <c r="C5" s="2" t="s">
        <v>13</v>
      </c>
      <c r="D5" s="2" t="s">
        <v>13</v>
      </c>
      <c r="E5" s="3">
        <v>10</v>
      </c>
      <c r="F5" s="16">
        <v>1151</v>
      </c>
      <c r="G5" s="3">
        <v>11510</v>
      </c>
      <c r="H5" s="4">
        <v>370</v>
      </c>
      <c r="I5" s="4"/>
      <c r="J5" s="4">
        <f t="shared" si="0"/>
        <v>370</v>
      </c>
      <c r="K5" s="4">
        <f t="shared" si="1"/>
        <v>781</v>
      </c>
      <c r="L5" s="5">
        <f t="shared" si="2"/>
        <v>3700</v>
      </c>
      <c r="M5" s="5">
        <f t="shared" si="3"/>
        <v>7810</v>
      </c>
      <c r="N5" s="17" t="str">
        <f t="shared" si="4"/>
        <v>KEEP SELLING</v>
      </c>
      <c r="O5" s="10"/>
      <c r="P5" s="10"/>
      <c r="Q5" s="12">
        <f>SUM(G14:G22)</f>
        <v>89940</v>
      </c>
      <c r="R5" s="11">
        <f>SUM(L14:L22)</f>
        <v>9700</v>
      </c>
    </row>
    <row r="6" spans="1:22" s="18" customFormat="1" ht="18" customHeight="1" x14ac:dyDescent="0.2">
      <c r="A6" s="2" t="s">
        <v>27</v>
      </c>
      <c r="B6" s="2" t="s">
        <v>24</v>
      </c>
      <c r="C6" s="2" t="s">
        <v>14</v>
      </c>
      <c r="D6" s="2" t="s">
        <v>14</v>
      </c>
      <c r="E6" s="3">
        <v>10</v>
      </c>
      <c r="F6" s="16">
        <v>3536</v>
      </c>
      <c r="G6" s="3">
        <v>35360</v>
      </c>
      <c r="H6" s="4">
        <v>530</v>
      </c>
      <c r="I6" s="4"/>
      <c r="J6" s="4">
        <f t="shared" si="0"/>
        <v>530</v>
      </c>
      <c r="K6" s="4">
        <f t="shared" si="1"/>
        <v>3006</v>
      </c>
      <c r="L6" s="5">
        <f t="shared" si="2"/>
        <v>5300</v>
      </c>
      <c r="M6" s="5">
        <f t="shared" si="3"/>
        <v>30060</v>
      </c>
      <c r="N6" s="17" t="str">
        <f t="shared" si="4"/>
        <v>KEEP SELLING</v>
      </c>
      <c r="O6" s="10"/>
      <c r="P6" s="10"/>
      <c r="Q6" s="19"/>
      <c r="R6" s="20"/>
    </row>
    <row r="7" spans="1:22" s="18" customFormat="1" ht="18" customHeight="1" x14ac:dyDescent="0.2">
      <c r="A7" s="2" t="s">
        <v>27</v>
      </c>
      <c r="B7" s="2" t="s">
        <v>24</v>
      </c>
      <c r="C7" s="2" t="s">
        <v>15</v>
      </c>
      <c r="D7" s="2" t="s">
        <v>15</v>
      </c>
      <c r="E7" s="3">
        <v>10</v>
      </c>
      <c r="F7" s="16">
        <v>4481</v>
      </c>
      <c r="G7" s="3">
        <v>44810</v>
      </c>
      <c r="H7" s="4">
        <v>1284</v>
      </c>
      <c r="I7" s="4"/>
      <c r="J7" s="4">
        <f t="shared" si="0"/>
        <v>1284</v>
      </c>
      <c r="K7" s="4">
        <f t="shared" si="1"/>
        <v>3197</v>
      </c>
      <c r="L7" s="5">
        <f t="shared" si="2"/>
        <v>12840</v>
      </c>
      <c r="M7" s="5">
        <f t="shared" si="3"/>
        <v>31970</v>
      </c>
      <c r="N7" s="7" t="str">
        <f t="shared" si="4"/>
        <v>KEEP SELLING</v>
      </c>
      <c r="O7" s="10"/>
      <c r="P7" s="10"/>
      <c r="Q7" s="19"/>
      <c r="R7" s="20"/>
    </row>
    <row r="8" spans="1:22" s="18" customFormat="1" ht="18" customHeight="1" x14ac:dyDescent="0.2">
      <c r="A8" s="2" t="s">
        <v>27</v>
      </c>
      <c r="B8" s="2" t="s">
        <v>24</v>
      </c>
      <c r="C8" s="2" t="s">
        <v>32</v>
      </c>
      <c r="D8" s="2" t="s">
        <v>32</v>
      </c>
      <c r="E8" s="3">
        <v>5</v>
      </c>
      <c r="F8" s="16">
        <v>500</v>
      </c>
      <c r="G8" s="3">
        <v>2500</v>
      </c>
      <c r="H8" s="4"/>
      <c r="I8" s="4"/>
      <c r="J8" s="4">
        <f t="shared" si="0"/>
        <v>0</v>
      </c>
      <c r="K8" s="4">
        <f t="shared" si="1"/>
        <v>500</v>
      </c>
      <c r="L8" s="5">
        <f t="shared" si="2"/>
        <v>0</v>
      </c>
      <c r="M8" s="5">
        <f t="shared" si="3"/>
        <v>2500</v>
      </c>
      <c r="N8" s="7" t="str">
        <f t="shared" si="4"/>
        <v>KEEP SELLING</v>
      </c>
      <c r="O8" s="10"/>
      <c r="P8" s="10"/>
      <c r="Q8" s="19"/>
      <c r="R8" s="20"/>
    </row>
    <row r="9" spans="1:22" s="18" customFormat="1" ht="18" customHeight="1" x14ac:dyDescent="0.2">
      <c r="A9" s="2" t="s">
        <v>27</v>
      </c>
      <c r="B9" s="2" t="s">
        <v>24</v>
      </c>
      <c r="C9" s="2" t="s">
        <v>16</v>
      </c>
      <c r="D9" s="2" t="s">
        <v>16</v>
      </c>
      <c r="E9" s="3">
        <v>10</v>
      </c>
      <c r="F9" s="16">
        <v>2177</v>
      </c>
      <c r="G9" s="3">
        <v>21770</v>
      </c>
      <c r="H9" s="4">
        <v>743</v>
      </c>
      <c r="I9" s="4">
        <v>100</v>
      </c>
      <c r="J9" s="4">
        <f t="shared" si="0"/>
        <v>843</v>
      </c>
      <c r="K9" s="4">
        <f t="shared" si="1"/>
        <v>1334</v>
      </c>
      <c r="L9" s="5">
        <f t="shared" si="2"/>
        <v>8430</v>
      </c>
      <c r="M9" s="5">
        <f t="shared" si="3"/>
        <v>13340</v>
      </c>
      <c r="N9" s="7" t="str">
        <f t="shared" si="4"/>
        <v>KEEP SELLING</v>
      </c>
      <c r="O9" s="10"/>
      <c r="P9" s="10"/>
    </row>
    <row r="10" spans="1:22" ht="18" customHeight="1" x14ac:dyDescent="0.2">
      <c r="A10" s="2" t="s">
        <v>27</v>
      </c>
      <c r="B10" s="2" t="s">
        <v>24</v>
      </c>
      <c r="C10" s="2" t="s">
        <v>20</v>
      </c>
      <c r="D10" s="2" t="s">
        <v>20</v>
      </c>
      <c r="E10" s="3">
        <v>30</v>
      </c>
      <c r="F10" s="16">
        <v>129</v>
      </c>
      <c r="G10" s="3">
        <v>3870</v>
      </c>
      <c r="H10" s="4"/>
      <c r="I10" s="4"/>
      <c r="J10" s="4">
        <f t="shared" si="0"/>
        <v>0</v>
      </c>
      <c r="K10" s="4">
        <f t="shared" si="1"/>
        <v>129</v>
      </c>
      <c r="L10" s="5">
        <f t="shared" si="2"/>
        <v>0</v>
      </c>
      <c r="M10" s="5">
        <f t="shared" si="3"/>
        <v>3870</v>
      </c>
      <c r="N10" s="7" t="str">
        <f t="shared" si="4"/>
        <v>KEEP SELLING</v>
      </c>
      <c r="O10" s="10"/>
      <c r="P10" s="10"/>
    </row>
    <row r="11" spans="1:22" ht="24" customHeight="1" x14ac:dyDescent="0.2">
      <c r="A11" s="2" t="s">
        <v>27</v>
      </c>
      <c r="B11" s="2" t="s">
        <v>24</v>
      </c>
      <c r="C11" s="2" t="s">
        <v>17</v>
      </c>
      <c r="D11" s="2" t="s">
        <v>17</v>
      </c>
      <c r="E11" s="3">
        <v>30</v>
      </c>
      <c r="F11" s="16">
        <v>133</v>
      </c>
      <c r="G11" s="3">
        <v>3990</v>
      </c>
      <c r="H11" s="4"/>
      <c r="I11" s="4"/>
      <c r="J11" s="4">
        <f t="shared" si="0"/>
        <v>0</v>
      </c>
      <c r="K11" s="4">
        <f t="shared" si="1"/>
        <v>133</v>
      </c>
      <c r="L11" s="5">
        <f t="shared" si="2"/>
        <v>0</v>
      </c>
      <c r="M11" s="5">
        <f t="shared" si="3"/>
        <v>3990</v>
      </c>
      <c r="N11" s="7" t="str">
        <f t="shared" si="4"/>
        <v>KEEP SELLING</v>
      </c>
      <c r="O11" s="10"/>
      <c r="P11" s="10"/>
    </row>
    <row r="12" spans="1:22" ht="18" customHeight="1" x14ac:dyDescent="0.2">
      <c r="A12" s="2" t="s">
        <v>27</v>
      </c>
      <c r="B12" s="2" t="s">
        <v>24</v>
      </c>
      <c r="C12" s="2" t="s">
        <v>18</v>
      </c>
      <c r="D12" s="2" t="s">
        <v>18</v>
      </c>
      <c r="E12" s="3">
        <v>30</v>
      </c>
      <c r="F12" s="16">
        <v>105</v>
      </c>
      <c r="G12" s="3">
        <v>3150</v>
      </c>
      <c r="H12" s="4"/>
      <c r="I12" s="4"/>
      <c r="J12" s="4">
        <f t="shared" si="0"/>
        <v>0</v>
      </c>
      <c r="K12" s="4">
        <f t="shared" si="1"/>
        <v>105</v>
      </c>
      <c r="L12" s="5">
        <f t="shared" si="2"/>
        <v>0</v>
      </c>
      <c r="M12" s="5">
        <f t="shared" si="3"/>
        <v>3150</v>
      </c>
      <c r="N12" s="7" t="str">
        <f t="shared" si="4"/>
        <v>KEEP SELLING</v>
      </c>
      <c r="O12" s="10"/>
      <c r="P12" s="10"/>
    </row>
    <row r="13" spans="1:22" ht="25.5" customHeight="1" x14ac:dyDescent="0.2">
      <c r="A13" s="2" t="s">
        <v>27</v>
      </c>
      <c r="B13" s="2" t="s">
        <v>24</v>
      </c>
      <c r="C13" s="2" t="s">
        <v>19</v>
      </c>
      <c r="D13" s="2" t="s">
        <v>19</v>
      </c>
      <c r="E13" s="3">
        <v>80</v>
      </c>
      <c r="F13" s="16">
        <v>660</v>
      </c>
      <c r="G13" s="3">
        <v>52800</v>
      </c>
      <c r="H13" s="4">
        <v>25</v>
      </c>
      <c r="I13" s="4">
        <v>44</v>
      </c>
      <c r="J13" s="4">
        <f t="shared" si="0"/>
        <v>69</v>
      </c>
      <c r="K13" s="4">
        <f t="shared" si="1"/>
        <v>591</v>
      </c>
      <c r="L13" s="5">
        <f t="shared" si="2"/>
        <v>5520</v>
      </c>
      <c r="M13" s="5">
        <f t="shared" si="3"/>
        <v>47280</v>
      </c>
      <c r="N13" s="7" t="str">
        <f t="shared" si="4"/>
        <v>KEEP SELLING</v>
      </c>
      <c r="O13" s="10"/>
      <c r="P13" s="10"/>
    </row>
    <row r="14" spans="1:22" ht="18" customHeight="1" x14ac:dyDescent="0.2">
      <c r="A14" s="2" t="s">
        <v>30</v>
      </c>
      <c r="B14" s="2" t="s">
        <v>31</v>
      </c>
      <c r="C14" s="2" t="s">
        <v>13</v>
      </c>
      <c r="D14" s="2" t="s">
        <v>13</v>
      </c>
      <c r="E14" s="3">
        <v>10</v>
      </c>
      <c r="F14" s="16">
        <v>576</v>
      </c>
      <c r="G14" s="3">
        <v>5760</v>
      </c>
      <c r="H14" s="4"/>
      <c r="I14" s="4"/>
      <c r="J14" s="4">
        <f t="shared" si="0"/>
        <v>0</v>
      </c>
      <c r="K14" s="4">
        <f t="shared" si="1"/>
        <v>576</v>
      </c>
      <c r="L14" s="5">
        <f t="shared" si="2"/>
        <v>0</v>
      </c>
      <c r="M14" s="5">
        <f t="shared" si="3"/>
        <v>5760</v>
      </c>
      <c r="N14" s="7" t="str">
        <f t="shared" si="4"/>
        <v>KEEP SELLING</v>
      </c>
      <c r="O14" s="10"/>
      <c r="P14" s="10"/>
    </row>
    <row r="15" spans="1:22" ht="18" customHeight="1" x14ac:dyDescent="0.2">
      <c r="A15" s="2" t="s">
        <v>30</v>
      </c>
      <c r="B15" s="2" t="s">
        <v>31</v>
      </c>
      <c r="C15" s="2" t="s">
        <v>14</v>
      </c>
      <c r="D15" s="2" t="s">
        <v>14</v>
      </c>
      <c r="E15" s="3">
        <v>10</v>
      </c>
      <c r="F15" s="16">
        <v>1768</v>
      </c>
      <c r="G15" s="3">
        <v>17680</v>
      </c>
      <c r="H15" s="4"/>
      <c r="I15" s="4"/>
      <c r="J15" s="4">
        <f t="shared" si="0"/>
        <v>0</v>
      </c>
      <c r="K15" s="4">
        <f t="shared" si="1"/>
        <v>1768</v>
      </c>
      <c r="L15" s="5">
        <f t="shared" si="2"/>
        <v>0</v>
      </c>
      <c r="M15" s="5">
        <f t="shared" si="3"/>
        <v>17680</v>
      </c>
      <c r="N15" s="7" t="str">
        <f t="shared" si="4"/>
        <v>KEEP SELLING</v>
      </c>
      <c r="O15" s="10"/>
      <c r="P15" s="10"/>
    </row>
    <row r="16" spans="1:22" ht="18" customHeight="1" x14ac:dyDescent="0.2">
      <c r="A16" s="2" t="s">
        <v>30</v>
      </c>
      <c r="B16" s="2" t="s">
        <v>31</v>
      </c>
      <c r="C16" s="2" t="s">
        <v>15</v>
      </c>
      <c r="D16" s="2" t="s">
        <v>15</v>
      </c>
      <c r="E16" s="3">
        <v>10</v>
      </c>
      <c r="F16" s="16">
        <v>2241</v>
      </c>
      <c r="G16" s="3">
        <v>22410</v>
      </c>
      <c r="H16" s="4">
        <v>700</v>
      </c>
      <c r="I16" s="4"/>
      <c r="J16" s="4">
        <f t="shared" si="0"/>
        <v>700</v>
      </c>
      <c r="K16" s="4">
        <f t="shared" si="1"/>
        <v>1541</v>
      </c>
      <c r="L16" s="5">
        <f t="shared" si="2"/>
        <v>7000</v>
      </c>
      <c r="M16" s="5">
        <f t="shared" si="3"/>
        <v>15410</v>
      </c>
      <c r="N16" s="7" t="str">
        <f t="shared" si="4"/>
        <v>KEEP SELLING</v>
      </c>
      <c r="O16" s="10"/>
      <c r="P16" s="10"/>
    </row>
    <row r="17" spans="1:16" ht="18" customHeight="1" x14ac:dyDescent="0.2">
      <c r="A17" s="2" t="s">
        <v>30</v>
      </c>
      <c r="B17" s="2" t="s">
        <v>31</v>
      </c>
      <c r="C17" s="2" t="s">
        <v>32</v>
      </c>
      <c r="D17" s="2" t="s">
        <v>32</v>
      </c>
      <c r="E17" s="3">
        <v>5</v>
      </c>
      <c r="F17" s="16">
        <v>250</v>
      </c>
      <c r="G17" s="3">
        <v>1250</v>
      </c>
      <c r="H17" s="4"/>
      <c r="I17" s="4"/>
      <c r="J17" s="4">
        <f t="shared" si="0"/>
        <v>0</v>
      </c>
      <c r="K17" s="4">
        <f t="shared" si="1"/>
        <v>250</v>
      </c>
      <c r="L17" s="5">
        <f t="shared" si="2"/>
        <v>0</v>
      </c>
      <c r="M17" s="5">
        <f t="shared" si="3"/>
        <v>1250</v>
      </c>
      <c r="N17" s="7" t="str">
        <f t="shared" si="4"/>
        <v>KEEP SELLING</v>
      </c>
      <c r="O17" s="10"/>
      <c r="P17" s="10"/>
    </row>
    <row r="18" spans="1:16" ht="18" customHeight="1" x14ac:dyDescent="0.2">
      <c r="A18" s="2" t="s">
        <v>30</v>
      </c>
      <c r="B18" s="2" t="s">
        <v>31</v>
      </c>
      <c r="C18" s="2" t="s">
        <v>16</v>
      </c>
      <c r="D18" s="2" t="s">
        <v>16</v>
      </c>
      <c r="E18" s="3">
        <v>10</v>
      </c>
      <c r="F18" s="16">
        <v>1089</v>
      </c>
      <c r="G18" s="3">
        <v>10890</v>
      </c>
      <c r="H18" s="4">
        <v>30</v>
      </c>
      <c r="I18" s="4"/>
      <c r="J18" s="4">
        <f t="shared" si="0"/>
        <v>30</v>
      </c>
      <c r="K18" s="4">
        <f t="shared" si="1"/>
        <v>1059</v>
      </c>
      <c r="L18" s="5">
        <f t="shared" si="2"/>
        <v>300</v>
      </c>
      <c r="M18" s="5">
        <f t="shared" si="3"/>
        <v>10590</v>
      </c>
      <c r="N18" s="7" t="str">
        <f t="shared" si="4"/>
        <v>KEEP SELLING</v>
      </c>
      <c r="O18" s="10"/>
      <c r="P18" s="10"/>
    </row>
    <row r="19" spans="1:16" ht="18" customHeight="1" x14ac:dyDescent="0.2">
      <c r="A19" s="2" t="s">
        <v>30</v>
      </c>
      <c r="B19" s="2" t="s">
        <v>31</v>
      </c>
      <c r="C19" s="2" t="s">
        <v>20</v>
      </c>
      <c r="D19" s="2" t="s">
        <v>20</v>
      </c>
      <c r="E19" s="3">
        <v>30</v>
      </c>
      <c r="F19" s="16">
        <v>65</v>
      </c>
      <c r="G19" s="3">
        <v>1950</v>
      </c>
      <c r="H19" s="4"/>
      <c r="I19" s="4"/>
      <c r="J19" s="4">
        <f t="shared" si="0"/>
        <v>0</v>
      </c>
      <c r="K19" s="4">
        <f t="shared" si="1"/>
        <v>65</v>
      </c>
      <c r="L19" s="5">
        <f t="shared" si="2"/>
        <v>0</v>
      </c>
      <c r="M19" s="5">
        <f t="shared" si="3"/>
        <v>1950</v>
      </c>
      <c r="N19" s="7" t="str">
        <f t="shared" si="4"/>
        <v>KEEP SELLING</v>
      </c>
      <c r="O19" s="10"/>
      <c r="P19" s="10"/>
    </row>
    <row r="20" spans="1:16" ht="18" customHeight="1" x14ac:dyDescent="0.2">
      <c r="A20" s="2" t="s">
        <v>30</v>
      </c>
      <c r="B20" s="2" t="s">
        <v>31</v>
      </c>
      <c r="C20" s="2" t="s">
        <v>17</v>
      </c>
      <c r="D20" s="2" t="s">
        <v>17</v>
      </c>
      <c r="E20" s="3">
        <v>30</v>
      </c>
      <c r="F20" s="16">
        <v>67</v>
      </c>
      <c r="G20" s="3">
        <v>2010</v>
      </c>
      <c r="H20" s="4"/>
      <c r="I20" s="4"/>
      <c r="J20" s="4">
        <f t="shared" si="0"/>
        <v>0</v>
      </c>
      <c r="K20" s="4">
        <f t="shared" si="1"/>
        <v>67</v>
      </c>
      <c r="L20" s="5">
        <f t="shared" si="2"/>
        <v>0</v>
      </c>
      <c r="M20" s="5">
        <f t="shared" si="3"/>
        <v>2010</v>
      </c>
      <c r="N20" s="7" t="str">
        <f t="shared" si="4"/>
        <v>KEEP SELLING</v>
      </c>
      <c r="O20" s="10"/>
      <c r="P20" s="10"/>
    </row>
    <row r="21" spans="1:16" ht="18" customHeight="1" x14ac:dyDescent="0.2">
      <c r="A21" s="2" t="s">
        <v>30</v>
      </c>
      <c r="B21" s="2" t="s">
        <v>31</v>
      </c>
      <c r="C21" s="2" t="s">
        <v>18</v>
      </c>
      <c r="D21" s="2" t="s">
        <v>18</v>
      </c>
      <c r="E21" s="3">
        <v>30</v>
      </c>
      <c r="F21" s="16">
        <v>53</v>
      </c>
      <c r="G21" s="3">
        <v>1590</v>
      </c>
      <c r="H21" s="4"/>
      <c r="I21" s="4"/>
      <c r="J21" s="4">
        <f t="shared" si="0"/>
        <v>0</v>
      </c>
      <c r="K21" s="4">
        <f t="shared" si="1"/>
        <v>53</v>
      </c>
      <c r="L21" s="5">
        <f t="shared" si="2"/>
        <v>0</v>
      </c>
      <c r="M21" s="5">
        <f t="shared" si="3"/>
        <v>1590</v>
      </c>
      <c r="N21" s="7" t="str">
        <f t="shared" si="4"/>
        <v>KEEP SELLING</v>
      </c>
      <c r="O21" s="10"/>
      <c r="P21" s="10"/>
    </row>
    <row r="22" spans="1:16" ht="18" customHeight="1" x14ac:dyDescent="0.2">
      <c r="A22" s="2" t="s">
        <v>30</v>
      </c>
      <c r="B22" s="2" t="s">
        <v>31</v>
      </c>
      <c r="C22" s="2" t="s">
        <v>19</v>
      </c>
      <c r="D22" s="2" t="s">
        <v>19</v>
      </c>
      <c r="E22" s="3">
        <v>80</v>
      </c>
      <c r="F22" s="16">
        <v>330</v>
      </c>
      <c r="G22" s="3">
        <v>26400</v>
      </c>
      <c r="H22" s="4">
        <v>30</v>
      </c>
      <c r="I22" s="4"/>
      <c r="J22" s="4">
        <f t="shared" si="0"/>
        <v>30</v>
      </c>
      <c r="K22" s="4">
        <f t="shared" si="1"/>
        <v>300</v>
      </c>
      <c r="L22" s="5">
        <f t="shared" si="2"/>
        <v>2400</v>
      </c>
      <c r="M22" s="5">
        <f t="shared" si="3"/>
        <v>24000</v>
      </c>
      <c r="N22" s="7" t="str">
        <f t="shared" si="4"/>
        <v>KEEP SELLING</v>
      </c>
      <c r="O22" s="10"/>
      <c r="P22" s="10"/>
    </row>
  </sheetData>
  <conditionalFormatting sqref="H2:I22 K2:N22">
    <cfRule type="cellIs" dxfId="2" priority="1" operator="lessThan">
      <formula>0</formula>
    </cfRule>
  </conditionalFormatting>
  <conditionalFormatting sqref="N1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 WE ADDED</vt:lpstr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2025-10-03T16:39:53Z</dcterms:modified>
  <cp:category/>
  <cp:contentStatus/>
</cp:coreProperties>
</file>