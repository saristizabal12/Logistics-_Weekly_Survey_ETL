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5 SD Promotions\"/>
    </mc:Choice>
  </mc:AlternateContent>
  <xr:revisionPtr revIDLastSave="0" documentId="13_ncr:1_{5224B9F7-D8F1-4A4A-9985-F01241124C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Sheet1!$A$1:$O$23</definedName>
    <definedName name="_xlnm._FilterDatabase" localSheetId="0" hidden="1">'Sheet1 (2)'!$A$1:$O$23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2" l="1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  <c r="K23" i="1"/>
  <c r="K22" i="1"/>
  <c r="K21" i="1"/>
  <c r="M21" i="1" s="1"/>
  <c r="K20" i="1"/>
  <c r="M20" i="1" s="1"/>
  <c r="K19" i="1"/>
  <c r="M19" i="1" s="1"/>
  <c r="K18" i="1"/>
  <c r="M18" i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/>
  <c r="K7" i="1"/>
  <c r="M7" i="1"/>
  <c r="K6" i="1"/>
  <c r="M6" i="1" s="1"/>
  <c r="K5" i="1"/>
  <c r="M5" i="1"/>
  <c r="K4" i="1"/>
  <c r="M4" i="1" s="1"/>
  <c r="K3" i="1"/>
  <c r="M3" i="1" s="1"/>
  <c r="K2" i="1"/>
  <c r="M2" i="1" s="1"/>
  <c r="M23" i="1"/>
  <c r="L23" i="1"/>
  <c r="M22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<sst xmlns="http://schemas.openxmlformats.org/spreadsheetml/2006/main" count="294" uniqueCount="58">
  <si>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</si>
  <si>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</si>
  <si>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</si>
  <si>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</si>
  <si>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</si>
  <si>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</si>
  <si>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</si>
  <si>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</si>
  <si>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</t>
  </si>
  <si>
    <t>G-S24+</t>
  </si>
  <si>
    <t>VITEL MOBILE, INC.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</si>
  <si>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</si>
  <si>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</si>
  <si>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</si>
  <si>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</si>
  <si>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</si>
  <si>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</si>
  <si>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</si>
  <si>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</si>
  <si>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</si>
  <si>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</si>
  <si>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</si>
  <si>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</si>
  <si>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</si>
  <si>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</si>
  <si>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</si>
  <si>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</si>
  <si>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</si>
  <si>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</si>
  <si>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</si>
  <si>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</si>
  <si>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</si>
  <si>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</si>
  <si>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</si>
  <si>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</si>
  <si>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</si>
  <si>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</si>
  <si>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</si>
  <si>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</si>
  <si>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</si>
  <si>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</si>
  <si>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</si>
  <si>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</si>
  <si>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</si>
  <si>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</si>
  <si>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A2S3A0A250000304</t>
  </si>
  <si>
    <t>A0S3A0A250000853</t>
  </si>
  <si>
    <t>VITEL W33-W35 Tab S10 Series ST Promo</t>
  </si>
  <si>
    <t>A2S3A0A250000325</t>
  </si>
  <si>
    <t>A0S3A0A250000898</t>
  </si>
  <si>
    <t>VITEL W35 S24 / S24+ OM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</si>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</sst>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EDAD-DEA7-4C8F-88EF-8EB1FEE3E10A}">
  <dimension ref="A1:P23"/>
  <sheetViews>
    <sheetView showGridLines="0" tabSelected="1" zoomScale="130" zoomScaleNormal="130" workbookViewId="0">
      <pane ySplit="1" topLeftCell="A2" activePane="bottomLeft" state="frozen"/>
      <selection pane="bottomLeft" activeCell="J2" sqref="J2:J23"/>
    </sheetView>
  </sheetViews>
  <sheetFormatPr defaultRowHeight="12.75" x14ac:dyDescent="0.2"/>
  <cols>
    <col min="1" max="1" width="22.42578125" bestFit="1" customWidth="1"/>
    <col min="2" max="2" width="43.7109375" bestFit="1" customWidth="1"/>
    <col min="3" max="3" width="28" bestFit="1" customWidth="1"/>
    <col min="4" max="4" width="32.7109375" bestFit="1" customWidth="1"/>
    <col min="5" max="5" width="15.140625" bestFit="1" customWidth="1"/>
    <col min="6" max="6" width="27.5703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style="9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52</v>
      </c>
      <c r="I1" s="1" t="s">
        <v>53</v>
      </c>
      <c r="J1" s="7" t="s">
        <v>54</v>
      </c>
      <c r="K1" s="1" t="s">
        <v>55</v>
      </c>
      <c r="L1" s="1" t="s">
        <v>56</v>
      </c>
      <c r="M1" s="1" t="s">
        <v>57</v>
      </c>
      <c r="N1" s="1" t="s">
        <v>6</v>
      </c>
      <c r="O1" s="1" t="s">
        <v>7</v>
      </c>
    </row>
    <row r="2" spans="1:16" x14ac:dyDescent="0.2">
      <c r="A2" s="2" t="s">
        <v>46</v>
      </c>
      <c r="B2" s="2" t="s">
        <v>47</v>
      </c>
      <c r="C2" s="2" t="s">
        <v>45</v>
      </c>
      <c r="D2" s="2" t="s">
        <v>10</v>
      </c>
      <c r="E2" s="2" t="s">
        <v>11</v>
      </c>
      <c r="F2" s="2" t="s">
        <v>12</v>
      </c>
      <c r="G2" s="5">
        <v>30</v>
      </c>
      <c r="H2" s="6">
        <v>1</v>
      </c>
      <c r="I2" s="5">
        <v>30</v>
      </c>
      <c r="J2" s="8">
        <v>295</v>
      </c>
      <c r="K2" s="4">
        <f t="shared" ref="K2:K23" si="0">J2*$G2</f>
        <v>8850</v>
      </c>
      <c r="L2" s="6">
        <f t="shared" ref="L2:M21" si="1">J2-H2</f>
        <v>294</v>
      </c>
      <c r="M2" s="5">
        <f t="shared" si="1"/>
        <v>8820</v>
      </c>
      <c r="N2" s="3">
        <v>45880</v>
      </c>
      <c r="O2" s="3">
        <v>45900</v>
      </c>
      <c r="P2">
        <v>200</v>
      </c>
    </row>
    <row r="3" spans="1:16" x14ac:dyDescent="0.2">
      <c r="A3" s="2" t="s">
        <v>46</v>
      </c>
      <c r="B3" s="2" t="s">
        <v>47</v>
      </c>
      <c r="C3" s="2" t="s">
        <v>45</v>
      </c>
      <c r="D3" s="2" t="s">
        <v>10</v>
      </c>
      <c r="E3" s="2" t="s">
        <v>13</v>
      </c>
      <c r="F3" s="2" t="s">
        <v>12</v>
      </c>
      <c r="G3" s="5">
        <v>30</v>
      </c>
      <c r="H3" s="6">
        <v>1</v>
      </c>
      <c r="I3" s="5">
        <v>30</v>
      </c>
      <c r="J3" s="8">
        <v>0</v>
      </c>
      <c r="K3" s="4">
        <f t="shared" si="0"/>
        <v>0</v>
      </c>
      <c r="L3" s="6">
        <f t="shared" si="1"/>
        <v>-1</v>
      </c>
      <c r="M3" s="5">
        <f t="shared" si="1"/>
        <v>-30</v>
      </c>
      <c r="N3" s="3">
        <v>45880</v>
      </c>
      <c r="O3" s="3">
        <v>45900</v>
      </c>
    </row>
    <row r="4" spans="1:16" x14ac:dyDescent="0.2">
      <c r="A4" s="2" t="s">
        <v>46</v>
      </c>
      <c r="B4" s="2" t="s">
        <v>47</v>
      </c>
      <c r="C4" s="2" t="s">
        <v>45</v>
      </c>
      <c r="D4" s="2" t="s">
        <v>10</v>
      </c>
      <c r="E4" s="2" t="s">
        <v>14</v>
      </c>
      <c r="F4" s="2" t="s">
        <v>15</v>
      </c>
      <c r="G4" s="5">
        <v>30</v>
      </c>
      <c r="H4" s="6">
        <v>1</v>
      </c>
      <c r="I4" s="5">
        <v>30</v>
      </c>
      <c r="J4" s="8">
        <v>433</v>
      </c>
      <c r="K4" s="4">
        <f t="shared" si="0"/>
        <v>12990</v>
      </c>
      <c r="L4" s="6">
        <f t="shared" si="1"/>
        <v>432</v>
      </c>
      <c r="M4" s="5">
        <f t="shared" si="1"/>
        <v>12960</v>
      </c>
      <c r="N4" s="3">
        <v>45880</v>
      </c>
      <c r="O4" s="3">
        <v>45900</v>
      </c>
      <c r="P4">
        <v>27</v>
      </c>
    </row>
    <row r="5" spans="1:16" x14ac:dyDescent="0.2">
      <c r="A5" s="2" t="s">
        <v>46</v>
      </c>
      <c r="B5" s="2" t="s">
        <v>47</v>
      </c>
      <c r="C5" s="2" t="s">
        <v>45</v>
      </c>
      <c r="D5" s="2" t="s">
        <v>10</v>
      </c>
      <c r="E5" s="2" t="s">
        <v>16</v>
      </c>
      <c r="F5" s="2" t="s">
        <v>15</v>
      </c>
      <c r="G5" s="5">
        <v>30</v>
      </c>
      <c r="H5" s="6">
        <v>1</v>
      </c>
      <c r="I5" s="5">
        <v>30</v>
      </c>
      <c r="J5" s="8">
        <v>0</v>
      </c>
      <c r="K5" s="4">
        <f t="shared" si="0"/>
        <v>0</v>
      </c>
      <c r="L5" s="6">
        <f t="shared" si="1"/>
        <v>-1</v>
      </c>
      <c r="M5" s="5">
        <f t="shared" si="1"/>
        <v>-30</v>
      </c>
      <c r="N5" s="3">
        <v>45880</v>
      </c>
      <c r="O5" s="3">
        <v>45900</v>
      </c>
    </row>
    <row r="6" spans="1:16" x14ac:dyDescent="0.2">
      <c r="A6" s="2" t="s">
        <v>46</v>
      </c>
      <c r="B6" s="2" t="s">
        <v>47</v>
      </c>
      <c r="C6" s="2" t="s">
        <v>45</v>
      </c>
      <c r="D6" s="2" t="s">
        <v>10</v>
      </c>
      <c r="E6" s="2" t="s">
        <v>17</v>
      </c>
      <c r="F6" s="2" t="s">
        <v>18</v>
      </c>
      <c r="G6" s="5">
        <v>30</v>
      </c>
      <c r="H6" s="6">
        <v>1</v>
      </c>
      <c r="I6" s="5">
        <v>30</v>
      </c>
      <c r="J6" s="8">
        <v>260</v>
      </c>
      <c r="K6" s="4">
        <f t="shared" si="0"/>
        <v>7800</v>
      </c>
      <c r="L6" s="6">
        <f t="shared" si="1"/>
        <v>259</v>
      </c>
      <c r="M6" s="5">
        <f t="shared" si="1"/>
        <v>7770</v>
      </c>
      <c r="N6" s="3">
        <v>45880</v>
      </c>
      <c r="O6" s="3">
        <v>45900</v>
      </c>
      <c r="P6">
        <v>110</v>
      </c>
    </row>
    <row r="7" spans="1:16" x14ac:dyDescent="0.2">
      <c r="A7" s="2" t="s">
        <v>46</v>
      </c>
      <c r="B7" s="2" t="s">
        <v>47</v>
      </c>
      <c r="C7" s="2" t="s">
        <v>45</v>
      </c>
      <c r="D7" s="2" t="s">
        <v>10</v>
      </c>
      <c r="E7" s="2" t="s">
        <v>19</v>
      </c>
      <c r="F7" s="2" t="s">
        <v>18</v>
      </c>
      <c r="G7" s="5">
        <v>30</v>
      </c>
      <c r="H7" s="6">
        <v>1</v>
      </c>
      <c r="I7" s="5">
        <v>30</v>
      </c>
      <c r="J7" s="8">
        <v>0</v>
      </c>
      <c r="K7" s="4">
        <f t="shared" si="0"/>
        <v>0</v>
      </c>
      <c r="L7" s="6">
        <f t="shared" si="1"/>
        <v>-1</v>
      </c>
      <c r="M7" s="5">
        <f t="shared" si="1"/>
        <v>-30</v>
      </c>
      <c r="N7" s="3">
        <v>45880</v>
      </c>
      <c r="O7" s="3">
        <v>45900</v>
      </c>
    </row>
    <row r="8" spans="1:16" x14ac:dyDescent="0.2">
      <c r="A8" s="2" t="s">
        <v>46</v>
      </c>
      <c r="B8" s="2" t="s">
        <v>47</v>
      </c>
      <c r="C8" s="2" t="s">
        <v>45</v>
      </c>
      <c r="D8" s="2" t="s">
        <v>10</v>
      </c>
      <c r="E8" s="2" t="s">
        <v>20</v>
      </c>
      <c r="F8" s="2" t="s">
        <v>21</v>
      </c>
      <c r="G8" s="5">
        <v>30</v>
      </c>
      <c r="H8" s="6">
        <v>61</v>
      </c>
      <c r="I8" s="5">
        <v>1830</v>
      </c>
      <c r="J8" s="8">
        <v>97</v>
      </c>
      <c r="K8" s="4">
        <f t="shared" si="0"/>
        <v>2910</v>
      </c>
      <c r="L8" s="6">
        <f t="shared" si="1"/>
        <v>36</v>
      </c>
      <c r="M8" s="5">
        <f t="shared" si="1"/>
        <v>1080</v>
      </c>
      <c r="N8" s="3">
        <v>45880</v>
      </c>
      <c r="O8" s="3">
        <v>45900</v>
      </c>
      <c r="P8">
        <v>41</v>
      </c>
    </row>
    <row r="9" spans="1:16" x14ac:dyDescent="0.2">
      <c r="A9" s="2" t="s">
        <v>46</v>
      </c>
      <c r="B9" s="2" t="s">
        <v>47</v>
      </c>
      <c r="C9" s="2" t="s">
        <v>45</v>
      </c>
      <c r="D9" s="2" t="s">
        <v>10</v>
      </c>
      <c r="E9" s="2" t="s">
        <v>22</v>
      </c>
      <c r="F9" s="2" t="s">
        <v>23</v>
      </c>
      <c r="G9" s="5">
        <v>30</v>
      </c>
      <c r="H9" s="6">
        <v>1</v>
      </c>
      <c r="I9" s="5">
        <v>30</v>
      </c>
      <c r="J9" s="8">
        <v>32</v>
      </c>
      <c r="K9" s="4">
        <f t="shared" si="0"/>
        <v>960</v>
      </c>
      <c r="L9" s="6">
        <f t="shared" si="1"/>
        <v>31</v>
      </c>
      <c r="M9" s="5">
        <f t="shared" si="1"/>
        <v>930</v>
      </c>
      <c r="N9" s="3">
        <v>45880</v>
      </c>
      <c r="O9" s="3">
        <v>45900</v>
      </c>
      <c r="P9">
        <v>28</v>
      </c>
    </row>
    <row r="10" spans="1:16" x14ac:dyDescent="0.2">
      <c r="A10" s="2" t="s">
        <v>46</v>
      </c>
      <c r="B10" s="2" t="s">
        <v>47</v>
      </c>
      <c r="C10" s="2" t="s">
        <v>45</v>
      </c>
      <c r="D10" s="2" t="s">
        <v>10</v>
      </c>
      <c r="E10" s="2" t="s">
        <v>24</v>
      </c>
      <c r="F10" s="2" t="s">
        <v>25</v>
      </c>
      <c r="G10" s="5">
        <v>30</v>
      </c>
      <c r="H10" s="6">
        <v>84</v>
      </c>
      <c r="I10" s="5">
        <v>2520</v>
      </c>
      <c r="J10" s="8">
        <v>68</v>
      </c>
      <c r="K10" s="4">
        <f t="shared" si="0"/>
        <v>2040</v>
      </c>
      <c r="L10" s="6">
        <f t="shared" si="1"/>
        <v>-16</v>
      </c>
      <c r="M10" s="5">
        <f t="shared" si="1"/>
        <v>-480</v>
      </c>
      <c r="N10" s="3">
        <v>45880</v>
      </c>
      <c r="O10" s="3">
        <v>45900</v>
      </c>
    </row>
    <row r="11" spans="1:16" x14ac:dyDescent="0.2">
      <c r="A11" s="2" t="s">
        <v>46</v>
      </c>
      <c r="B11" s="2" t="s">
        <v>47</v>
      </c>
      <c r="C11" s="2" t="s">
        <v>45</v>
      </c>
      <c r="D11" s="2" t="s">
        <v>10</v>
      </c>
      <c r="E11" s="2" t="s">
        <v>26</v>
      </c>
      <c r="F11" s="2" t="s">
        <v>27</v>
      </c>
      <c r="G11" s="5">
        <v>30</v>
      </c>
      <c r="H11" s="6">
        <v>1</v>
      </c>
      <c r="I11" s="5">
        <v>30</v>
      </c>
      <c r="J11" s="8">
        <v>78</v>
      </c>
      <c r="K11" s="4">
        <f t="shared" si="0"/>
        <v>2340</v>
      </c>
      <c r="L11" s="6">
        <f t="shared" si="1"/>
        <v>77</v>
      </c>
      <c r="M11" s="5">
        <f t="shared" si="1"/>
        <v>2310</v>
      </c>
      <c r="N11" s="3">
        <v>45880</v>
      </c>
      <c r="O11" s="3">
        <v>45900</v>
      </c>
      <c r="P11">
        <v>1</v>
      </c>
    </row>
    <row r="12" spans="1:16" x14ac:dyDescent="0.2">
      <c r="A12" s="2" t="s">
        <v>46</v>
      </c>
      <c r="B12" s="2" t="s">
        <v>47</v>
      </c>
      <c r="C12" s="2" t="s">
        <v>45</v>
      </c>
      <c r="D12" s="2" t="s">
        <v>10</v>
      </c>
      <c r="E12" s="2" t="s">
        <v>28</v>
      </c>
      <c r="F12" s="2" t="s">
        <v>27</v>
      </c>
      <c r="G12" s="5">
        <v>30</v>
      </c>
      <c r="H12" s="6">
        <v>1</v>
      </c>
      <c r="I12" s="5">
        <v>30</v>
      </c>
      <c r="J12" s="8">
        <v>0</v>
      </c>
      <c r="K12" s="4">
        <f t="shared" si="0"/>
        <v>0</v>
      </c>
      <c r="L12" s="6">
        <f t="shared" si="1"/>
        <v>-1</v>
      </c>
      <c r="M12" s="5">
        <f t="shared" si="1"/>
        <v>-30</v>
      </c>
      <c r="N12" s="3">
        <v>45880</v>
      </c>
      <c r="O12" s="3">
        <v>45900</v>
      </c>
    </row>
    <row r="13" spans="1:16" x14ac:dyDescent="0.2">
      <c r="A13" s="2" t="s">
        <v>46</v>
      </c>
      <c r="B13" s="2" t="s">
        <v>47</v>
      </c>
      <c r="C13" s="2" t="s">
        <v>45</v>
      </c>
      <c r="D13" s="2" t="s">
        <v>10</v>
      </c>
      <c r="E13" s="2" t="s">
        <v>29</v>
      </c>
      <c r="F13" s="2" t="s">
        <v>30</v>
      </c>
      <c r="G13" s="5">
        <v>30</v>
      </c>
      <c r="H13" s="6">
        <v>1</v>
      </c>
      <c r="I13" s="5">
        <v>30</v>
      </c>
      <c r="J13" s="8">
        <v>258</v>
      </c>
      <c r="K13" s="4">
        <f t="shared" si="0"/>
        <v>7740</v>
      </c>
      <c r="L13" s="6">
        <f t="shared" si="1"/>
        <v>257</v>
      </c>
      <c r="M13" s="5">
        <f t="shared" si="1"/>
        <v>7710</v>
      </c>
      <c r="N13" s="3">
        <v>45880</v>
      </c>
      <c r="O13" s="3">
        <v>45900</v>
      </c>
      <c r="P13">
        <v>20</v>
      </c>
    </row>
    <row r="14" spans="1:16" x14ac:dyDescent="0.2">
      <c r="A14" s="2" t="s">
        <v>46</v>
      </c>
      <c r="B14" s="2" t="s">
        <v>47</v>
      </c>
      <c r="C14" s="2" t="s">
        <v>45</v>
      </c>
      <c r="D14" s="2" t="s">
        <v>10</v>
      </c>
      <c r="E14" s="2" t="s">
        <v>31</v>
      </c>
      <c r="F14" s="2" t="s">
        <v>30</v>
      </c>
      <c r="G14" s="5">
        <v>30</v>
      </c>
      <c r="H14" s="6">
        <v>1</v>
      </c>
      <c r="I14" s="5">
        <v>30</v>
      </c>
      <c r="J14" s="8">
        <v>0</v>
      </c>
      <c r="K14" s="4">
        <f t="shared" si="0"/>
        <v>0</v>
      </c>
      <c r="L14" s="6">
        <f t="shared" si="1"/>
        <v>-1</v>
      </c>
      <c r="M14" s="5">
        <f t="shared" si="1"/>
        <v>-30</v>
      </c>
      <c r="N14" s="3">
        <v>45880</v>
      </c>
      <c r="O14" s="3">
        <v>45900</v>
      </c>
    </row>
    <row r="15" spans="1:16" x14ac:dyDescent="0.2">
      <c r="A15" s="2" t="s">
        <v>46</v>
      </c>
      <c r="B15" s="2" t="s">
        <v>47</v>
      </c>
      <c r="C15" s="2" t="s">
        <v>45</v>
      </c>
      <c r="D15" s="2" t="s">
        <v>10</v>
      </c>
      <c r="E15" s="2" t="s">
        <v>32</v>
      </c>
      <c r="F15" s="2" t="s">
        <v>33</v>
      </c>
      <c r="G15" s="5">
        <v>30</v>
      </c>
      <c r="H15" s="6">
        <v>39</v>
      </c>
      <c r="I15" s="5">
        <v>1170</v>
      </c>
      <c r="J15" s="8">
        <v>78</v>
      </c>
      <c r="K15" s="4">
        <f t="shared" si="0"/>
        <v>2340</v>
      </c>
      <c r="L15" s="6">
        <f t="shared" si="1"/>
        <v>39</v>
      </c>
      <c r="M15" s="5">
        <f t="shared" si="1"/>
        <v>1170</v>
      </c>
      <c r="N15" s="3">
        <v>45880</v>
      </c>
      <c r="O15" s="3">
        <v>45900</v>
      </c>
      <c r="P15">
        <v>10</v>
      </c>
    </row>
    <row r="16" spans="1:16" x14ac:dyDescent="0.2">
      <c r="A16" s="2" t="s">
        <v>46</v>
      </c>
      <c r="B16" s="2" t="s">
        <v>47</v>
      </c>
      <c r="C16" s="2" t="s">
        <v>45</v>
      </c>
      <c r="D16" s="2" t="s">
        <v>10</v>
      </c>
      <c r="E16" s="2" t="s">
        <v>34</v>
      </c>
      <c r="F16" s="2" t="s">
        <v>33</v>
      </c>
      <c r="G16" s="5">
        <v>30</v>
      </c>
      <c r="H16" s="6">
        <v>1</v>
      </c>
      <c r="I16" s="5">
        <v>30</v>
      </c>
      <c r="J16" s="8">
        <v>0</v>
      </c>
      <c r="K16" s="4">
        <f t="shared" si="0"/>
        <v>0</v>
      </c>
      <c r="L16" s="6">
        <f t="shared" si="1"/>
        <v>-1</v>
      </c>
      <c r="M16" s="5">
        <f t="shared" si="1"/>
        <v>-30</v>
      </c>
      <c r="N16" s="3">
        <v>45880</v>
      </c>
      <c r="O16" s="3">
        <v>45900</v>
      </c>
    </row>
    <row r="17" spans="1:16" x14ac:dyDescent="0.2">
      <c r="A17" s="2" t="s">
        <v>46</v>
      </c>
      <c r="B17" s="2" t="s">
        <v>47</v>
      </c>
      <c r="C17" s="2" t="s">
        <v>45</v>
      </c>
      <c r="D17" s="2" t="s">
        <v>10</v>
      </c>
      <c r="E17" s="2" t="s">
        <v>35</v>
      </c>
      <c r="F17" s="2" t="s">
        <v>36</v>
      </c>
      <c r="G17" s="5">
        <v>30</v>
      </c>
      <c r="H17" s="6">
        <v>1</v>
      </c>
      <c r="I17" s="5">
        <v>30</v>
      </c>
      <c r="J17" s="8">
        <v>112</v>
      </c>
      <c r="K17" s="4">
        <f t="shared" si="0"/>
        <v>3360</v>
      </c>
      <c r="L17" s="6">
        <f t="shared" si="1"/>
        <v>111</v>
      </c>
      <c r="M17" s="5">
        <f t="shared" si="1"/>
        <v>3330</v>
      </c>
      <c r="N17" s="3">
        <v>45880</v>
      </c>
      <c r="O17" s="3">
        <v>45900</v>
      </c>
      <c r="P17">
        <v>4</v>
      </c>
    </row>
    <row r="18" spans="1:16" x14ac:dyDescent="0.2">
      <c r="A18" s="2" t="s">
        <v>46</v>
      </c>
      <c r="B18" s="2" t="s">
        <v>47</v>
      </c>
      <c r="C18" s="2" t="s">
        <v>45</v>
      </c>
      <c r="D18" s="2" t="s">
        <v>10</v>
      </c>
      <c r="E18" s="2" t="s">
        <v>37</v>
      </c>
      <c r="F18" s="2" t="s">
        <v>38</v>
      </c>
      <c r="G18" s="5">
        <v>30</v>
      </c>
      <c r="H18" s="6">
        <v>146</v>
      </c>
      <c r="I18" s="5">
        <v>4380</v>
      </c>
      <c r="J18" s="8">
        <v>67</v>
      </c>
      <c r="K18" s="4">
        <f t="shared" si="0"/>
        <v>2010</v>
      </c>
      <c r="L18" s="6">
        <f t="shared" si="1"/>
        <v>-79</v>
      </c>
      <c r="M18" s="5">
        <f t="shared" si="1"/>
        <v>-2370</v>
      </c>
      <c r="N18" s="3">
        <v>45880</v>
      </c>
      <c r="O18" s="3">
        <v>45900</v>
      </c>
    </row>
    <row r="19" spans="1:16" x14ac:dyDescent="0.2">
      <c r="A19" s="2" t="s">
        <v>46</v>
      </c>
      <c r="B19" s="2" t="s">
        <v>47</v>
      </c>
      <c r="C19" s="2" t="s">
        <v>45</v>
      </c>
      <c r="D19" s="2" t="s">
        <v>10</v>
      </c>
      <c r="E19" s="2" t="s">
        <v>39</v>
      </c>
      <c r="F19" s="2" t="s">
        <v>40</v>
      </c>
      <c r="G19" s="5">
        <v>30</v>
      </c>
      <c r="H19" s="6">
        <v>435</v>
      </c>
      <c r="I19" s="5">
        <v>13050</v>
      </c>
      <c r="J19" s="8">
        <v>188</v>
      </c>
      <c r="K19" s="4">
        <f t="shared" si="0"/>
        <v>5640</v>
      </c>
      <c r="L19" s="6">
        <f t="shared" si="1"/>
        <v>-247</v>
      </c>
      <c r="M19" s="5">
        <f t="shared" si="1"/>
        <v>-7410</v>
      </c>
      <c r="N19" s="3">
        <v>45880</v>
      </c>
      <c r="O19" s="3">
        <v>45900</v>
      </c>
    </row>
    <row r="20" spans="1:16" x14ac:dyDescent="0.2">
      <c r="A20" s="2" t="s">
        <v>46</v>
      </c>
      <c r="B20" s="2" t="s">
        <v>47</v>
      </c>
      <c r="C20" s="2" t="s">
        <v>45</v>
      </c>
      <c r="D20" s="2" t="s">
        <v>10</v>
      </c>
      <c r="E20" s="2" t="s">
        <v>41</v>
      </c>
      <c r="F20" s="2" t="s">
        <v>42</v>
      </c>
      <c r="G20" s="5">
        <v>30</v>
      </c>
      <c r="H20" s="6">
        <v>111</v>
      </c>
      <c r="I20" s="5">
        <v>3330</v>
      </c>
      <c r="J20" s="8">
        <v>50</v>
      </c>
      <c r="K20" s="4">
        <f t="shared" si="0"/>
        <v>1500</v>
      </c>
      <c r="L20" s="6">
        <f t="shared" si="1"/>
        <v>-61</v>
      </c>
      <c r="M20" s="5">
        <f t="shared" si="1"/>
        <v>-1830</v>
      </c>
      <c r="N20" s="3">
        <v>45880</v>
      </c>
      <c r="O20" s="3">
        <v>45900</v>
      </c>
    </row>
    <row r="21" spans="1:16" x14ac:dyDescent="0.2">
      <c r="A21" s="2" t="s">
        <v>46</v>
      </c>
      <c r="B21" s="2" t="s">
        <v>47</v>
      </c>
      <c r="C21" s="2" t="s">
        <v>45</v>
      </c>
      <c r="D21" s="2" t="s">
        <v>10</v>
      </c>
      <c r="E21" s="2" t="s">
        <v>43</v>
      </c>
      <c r="F21" s="2" t="s">
        <v>44</v>
      </c>
      <c r="G21" s="5">
        <v>30</v>
      </c>
      <c r="H21" s="6">
        <v>205</v>
      </c>
      <c r="I21" s="5">
        <v>6150</v>
      </c>
      <c r="J21" s="8">
        <v>50</v>
      </c>
      <c r="K21" s="4">
        <f t="shared" si="0"/>
        <v>1500</v>
      </c>
      <c r="L21" s="6">
        <f t="shared" si="1"/>
        <v>-155</v>
      </c>
      <c r="M21" s="5">
        <f t="shared" si="1"/>
        <v>-4650</v>
      </c>
      <c r="N21" s="3">
        <v>45880</v>
      </c>
      <c r="O21" s="3">
        <v>45900</v>
      </c>
    </row>
    <row r="22" spans="1:16" x14ac:dyDescent="0.2">
      <c r="A22" s="2" t="s">
        <v>49</v>
      </c>
      <c r="B22" s="2" t="s">
        <v>50</v>
      </c>
      <c r="C22" s="2" t="s">
        <v>48</v>
      </c>
      <c r="D22" s="2" t="s">
        <v>10</v>
      </c>
      <c r="E22" s="2" t="s">
        <v>8</v>
      </c>
      <c r="F22" s="2" t="s">
        <v>8</v>
      </c>
      <c r="G22" s="5">
        <v>10</v>
      </c>
      <c r="H22" s="6">
        <v>361</v>
      </c>
      <c r="I22" s="5">
        <v>3610</v>
      </c>
      <c r="J22" s="8">
        <v>0</v>
      </c>
      <c r="K22" s="4">
        <f t="shared" si="0"/>
        <v>0</v>
      </c>
      <c r="L22" s="6">
        <f t="shared" ref="L22:M23" si="2">J22-H22</f>
        <v>-361</v>
      </c>
      <c r="M22" s="5">
        <f t="shared" si="2"/>
        <v>-3610</v>
      </c>
      <c r="N22" s="3">
        <v>45894</v>
      </c>
      <c r="O22" s="3">
        <v>45900</v>
      </c>
    </row>
    <row r="23" spans="1:16" x14ac:dyDescent="0.2">
      <c r="A23" s="2" t="s">
        <v>49</v>
      </c>
      <c r="B23" s="2" t="s">
        <v>50</v>
      </c>
      <c r="C23" s="2" t="s">
        <v>48</v>
      </c>
      <c r="D23" s="2" t="s">
        <v>10</v>
      </c>
      <c r="E23" s="2" t="s">
        <v>9</v>
      </c>
      <c r="F23" s="2" t="s">
        <v>9</v>
      </c>
      <c r="G23" s="5">
        <v>10</v>
      </c>
      <c r="H23" s="6">
        <v>763</v>
      </c>
      <c r="I23" s="5">
        <v>7630</v>
      </c>
      <c r="J23" s="8">
        <v>0</v>
      </c>
      <c r="K23" s="4">
        <f t="shared" si="0"/>
        <v>0</v>
      </c>
      <c r="L23" s="6">
        <f t="shared" si="2"/>
        <v>-763</v>
      </c>
      <c r="M23" s="5">
        <f t="shared" si="2"/>
        <v>-7630</v>
      </c>
      <c r="N23" s="3">
        <v>45894</v>
      </c>
      <c r="O23" s="3">
        <v>45900</v>
      </c>
    </row>
  </sheetData>
  <autoFilter ref="A1:O23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zoomScale="130" zoomScaleNormal="130" workbookViewId="0">
      <pane ySplit="1" topLeftCell="A2" activePane="bottomLeft" state="frozen"/>
      <selection pane="bottomLeft" activeCell="H8" sqref="H7:H8"/>
    </sheetView>
  </sheetViews>
  <sheetFormatPr defaultRowHeight="12.75" x14ac:dyDescent="0.2"/>
  <cols>
    <col min="1" max="1" width="22.42578125" bestFit="1" customWidth="1"/>
    <col min="2" max="2" width="43.7109375" bestFit="1" customWidth="1"/>
    <col min="3" max="3" width="28" bestFit="1" customWidth="1"/>
    <col min="4" max="4" width="32.7109375" bestFit="1" customWidth="1"/>
    <col min="5" max="5" width="15.140625" bestFit="1" customWidth="1"/>
    <col min="6" max="6" width="27.5703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style="9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52</v>
      </c>
      <c r="I1" s="1" t="s">
        <v>53</v>
      </c>
      <c r="J1" s="7" t="s">
        <v>54</v>
      </c>
      <c r="K1" s="1" t="s">
        <v>55</v>
      </c>
      <c r="L1" s="1" t="s">
        <v>56</v>
      </c>
      <c r="M1" s="1" t="s">
        <v>57</v>
      </c>
      <c r="N1" s="1" t="s">
        <v>6</v>
      </c>
      <c r="O1" s="1" t="s">
        <v>7</v>
      </c>
    </row>
    <row r="2" spans="1:15" x14ac:dyDescent="0.2">
      <c r="A2" s="2" t="s">
        <v>46</v>
      </c>
      <c r="B2" s="2" t="s">
        <v>47</v>
      </c>
      <c r="C2" s="2" t="s">
        <v>45</v>
      </c>
      <c r="D2" s="2" t="s">
        <v>10</v>
      </c>
      <c r="E2" s="2" t="s">
        <v>11</v>
      </c>
      <c r="F2" s="2" t="s">
        <v>12</v>
      </c>
      <c r="G2" s="5">
        <v>30</v>
      </c>
      <c r="H2" s="6">
        <v>1</v>
      </c>
      <c r="I2" s="5">
        <v>30</v>
      </c>
      <c r="J2" s="8">
        <v>345</v>
      </c>
      <c r="K2" s="4">
        <f t="shared" ref="K2:K21" si="0">J2*$G2</f>
        <v>10350</v>
      </c>
      <c r="L2" s="6">
        <f t="shared" ref="L2:L21" si="1">J2-H2</f>
        <v>344</v>
      </c>
      <c r="M2" s="5">
        <f t="shared" ref="M2:M21" si="2">K2-I2</f>
        <v>10320</v>
      </c>
      <c r="N2" s="3">
        <v>45880</v>
      </c>
      <c r="O2" s="3">
        <v>45900</v>
      </c>
    </row>
    <row r="3" spans="1:15" x14ac:dyDescent="0.2">
      <c r="A3" s="2" t="s">
        <v>46</v>
      </c>
      <c r="B3" s="2" t="s">
        <v>47</v>
      </c>
      <c r="C3" s="2" t="s">
        <v>45</v>
      </c>
      <c r="D3" s="2" t="s">
        <v>10</v>
      </c>
      <c r="E3" s="2" t="s">
        <v>13</v>
      </c>
      <c r="F3" s="2" t="s">
        <v>12</v>
      </c>
      <c r="G3" s="5">
        <v>30</v>
      </c>
      <c r="H3" s="6">
        <v>1</v>
      </c>
      <c r="I3" s="5">
        <v>30</v>
      </c>
      <c r="J3" s="8">
        <v>0</v>
      </c>
      <c r="K3" s="4">
        <f t="shared" si="0"/>
        <v>0</v>
      </c>
      <c r="L3" s="6">
        <f t="shared" si="1"/>
        <v>-1</v>
      </c>
      <c r="M3" s="5">
        <f t="shared" si="2"/>
        <v>-30</v>
      </c>
      <c r="N3" s="3">
        <v>45880</v>
      </c>
      <c r="O3" s="3">
        <v>45900</v>
      </c>
    </row>
    <row r="4" spans="1:15" x14ac:dyDescent="0.2">
      <c r="A4" s="2" t="s">
        <v>46</v>
      </c>
      <c r="B4" s="2" t="s">
        <v>47</v>
      </c>
      <c r="C4" s="2" t="s">
        <v>45</v>
      </c>
      <c r="D4" s="2" t="s">
        <v>10</v>
      </c>
      <c r="E4" s="2" t="s">
        <v>14</v>
      </c>
      <c r="F4" s="2" t="s">
        <v>15</v>
      </c>
      <c r="G4" s="5">
        <v>30</v>
      </c>
      <c r="H4" s="6">
        <v>1</v>
      </c>
      <c r="I4" s="5">
        <v>30</v>
      </c>
      <c r="J4" s="8">
        <v>460</v>
      </c>
      <c r="K4" s="4">
        <f t="shared" si="0"/>
        <v>13800</v>
      </c>
      <c r="L4" s="6">
        <f t="shared" si="1"/>
        <v>459</v>
      </c>
      <c r="M4" s="5">
        <f t="shared" si="2"/>
        <v>13770</v>
      </c>
      <c r="N4" s="3">
        <v>45880</v>
      </c>
      <c r="O4" s="3">
        <v>45900</v>
      </c>
    </row>
    <row r="5" spans="1:15" x14ac:dyDescent="0.2">
      <c r="A5" s="2" t="s">
        <v>46</v>
      </c>
      <c r="B5" s="2" t="s">
        <v>47</v>
      </c>
      <c r="C5" s="2" t="s">
        <v>45</v>
      </c>
      <c r="D5" s="2" t="s">
        <v>10</v>
      </c>
      <c r="E5" s="2" t="s">
        <v>16</v>
      </c>
      <c r="F5" s="2" t="s">
        <v>15</v>
      </c>
      <c r="G5" s="5">
        <v>30</v>
      </c>
      <c r="H5" s="6">
        <v>1</v>
      </c>
      <c r="I5" s="5">
        <v>30</v>
      </c>
      <c r="J5" s="8">
        <v>0</v>
      </c>
      <c r="K5" s="4">
        <f t="shared" si="0"/>
        <v>0</v>
      </c>
      <c r="L5" s="6">
        <f t="shared" si="1"/>
        <v>-1</v>
      </c>
      <c r="M5" s="5">
        <f t="shared" si="2"/>
        <v>-30</v>
      </c>
      <c r="N5" s="3">
        <v>45880</v>
      </c>
      <c r="O5" s="3">
        <v>45900</v>
      </c>
    </row>
    <row r="6" spans="1:15" x14ac:dyDescent="0.2">
      <c r="A6" s="2" t="s">
        <v>46</v>
      </c>
      <c r="B6" s="2" t="s">
        <v>47</v>
      </c>
      <c r="C6" s="2" t="s">
        <v>45</v>
      </c>
      <c r="D6" s="2" t="s">
        <v>10</v>
      </c>
      <c r="E6" s="2" t="s">
        <v>17</v>
      </c>
      <c r="F6" s="2" t="s">
        <v>18</v>
      </c>
      <c r="G6" s="5">
        <v>30</v>
      </c>
      <c r="H6" s="6">
        <v>1</v>
      </c>
      <c r="I6" s="5">
        <v>30</v>
      </c>
      <c r="J6" s="8">
        <v>310</v>
      </c>
      <c r="K6" s="4">
        <f t="shared" si="0"/>
        <v>9300</v>
      </c>
      <c r="L6" s="6">
        <f t="shared" si="1"/>
        <v>309</v>
      </c>
      <c r="M6" s="5">
        <f t="shared" si="2"/>
        <v>9270</v>
      </c>
      <c r="N6" s="3">
        <v>45880</v>
      </c>
      <c r="O6" s="3">
        <v>45900</v>
      </c>
    </row>
    <row r="7" spans="1:15" x14ac:dyDescent="0.2">
      <c r="A7" s="2" t="s">
        <v>46</v>
      </c>
      <c r="B7" s="2" t="s">
        <v>47</v>
      </c>
      <c r="C7" s="2" t="s">
        <v>45</v>
      </c>
      <c r="D7" s="2" t="s">
        <v>10</v>
      </c>
      <c r="E7" s="2" t="s">
        <v>19</v>
      </c>
      <c r="F7" s="2" t="s">
        <v>18</v>
      </c>
      <c r="G7" s="5">
        <v>30</v>
      </c>
      <c r="H7" s="6">
        <v>1</v>
      </c>
      <c r="I7" s="5">
        <v>30</v>
      </c>
      <c r="J7" s="8">
        <v>0</v>
      </c>
      <c r="K7" s="4">
        <f t="shared" si="0"/>
        <v>0</v>
      </c>
      <c r="L7" s="6">
        <f t="shared" si="1"/>
        <v>-1</v>
      </c>
      <c r="M7" s="5">
        <f t="shared" si="2"/>
        <v>-30</v>
      </c>
      <c r="N7" s="3">
        <v>45880</v>
      </c>
      <c r="O7" s="3">
        <v>45900</v>
      </c>
    </row>
    <row r="8" spans="1:15" x14ac:dyDescent="0.2">
      <c r="A8" s="2" t="s">
        <v>46</v>
      </c>
      <c r="B8" s="2" t="s">
        <v>47</v>
      </c>
      <c r="C8" s="2" t="s">
        <v>45</v>
      </c>
      <c r="D8" s="2" t="s">
        <v>10</v>
      </c>
      <c r="E8" s="2" t="s">
        <v>20</v>
      </c>
      <c r="F8" s="2" t="s">
        <v>21</v>
      </c>
      <c r="G8" s="5">
        <v>30</v>
      </c>
      <c r="H8" s="6">
        <v>61</v>
      </c>
      <c r="I8" s="5">
        <v>1830</v>
      </c>
      <c r="J8" s="8">
        <v>97</v>
      </c>
      <c r="K8" s="4">
        <f t="shared" si="0"/>
        <v>2910</v>
      </c>
      <c r="L8" s="6">
        <f t="shared" si="1"/>
        <v>36</v>
      </c>
      <c r="M8" s="5">
        <f t="shared" si="2"/>
        <v>1080</v>
      </c>
      <c r="N8" s="3">
        <v>45880</v>
      </c>
      <c r="O8" s="3">
        <v>45900</v>
      </c>
    </row>
    <row r="9" spans="1:15" x14ac:dyDescent="0.2">
      <c r="A9" s="2" t="s">
        <v>46</v>
      </c>
      <c r="B9" s="2" t="s">
        <v>47</v>
      </c>
      <c r="C9" s="2" t="s">
        <v>45</v>
      </c>
      <c r="D9" s="2" t="s">
        <v>10</v>
      </c>
      <c r="E9" s="2" t="s">
        <v>22</v>
      </c>
      <c r="F9" s="2" t="s">
        <v>23</v>
      </c>
      <c r="G9" s="5">
        <v>30</v>
      </c>
      <c r="H9" s="6">
        <v>1</v>
      </c>
      <c r="I9" s="5">
        <v>30</v>
      </c>
      <c r="J9" s="8">
        <v>62</v>
      </c>
      <c r="K9" s="4">
        <f t="shared" si="0"/>
        <v>1860</v>
      </c>
      <c r="L9" s="6">
        <f t="shared" si="1"/>
        <v>61</v>
      </c>
      <c r="M9" s="5">
        <f t="shared" si="2"/>
        <v>1830</v>
      </c>
      <c r="N9" s="3">
        <v>45880</v>
      </c>
      <c r="O9" s="3">
        <v>45900</v>
      </c>
    </row>
    <row r="10" spans="1:15" x14ac:dyDescent="0.2">
      <c r="A10" s="2" t="s">
        <v>46</v>
      </c>
      <c r="B10" s="2" t="s">
        <v>47</v>
      </c>
      <c r="C10" s="2" t="s">
        <v>45</v>
      </c>
      <c r="D10" s="2" t="s">
        <v>10</v>
      </c>
      <c r="E10" s="2" t="s">
        <v>24</v>
      </c>
      <c r="F10" s="2" t="s">
        <v>25</v>
      </c>
      <c r="G10" s="5">
        <v>30</v>
      </c>
      <c r="H10" s="6">
        <v>84</v>
      </c>
      <c r="I10" s="5">
        <v>2520</v>
      </c>
      <c r="J10" s="8">
        <v>68</v>
      </c>
      <c r="K10" s="4">
        <f t="shared" si="0"/>
        <v>2040</v>
      </c>
      <c r="L10" s="6">
        <f t="shared" si="1"/>
        <v>-16</v>
      </c>
      <c r="M10" s="5">
        <f t="shared" si="2"/>
        <v>-480</v>
      </c>
      <c r="N10" s="3">
        <v>45880</v>
      </c>
      <c r="O10" s="3">
        <v>45900</v>
      </c>
    </row>
    <row r="11" spans="1:15" x14ac:dyDescent="0.2">
      <c r="A11" s="2" t="s">
        <v>46</v>
      </c>
      <c r="B11" s="2" t="s">
        <v>47</v>
      </c>
      <c r="C11" s="2" t="s">
        <v>45</v>
      </c>
      <c r="D11" s="2" t="s">
        <v>10</v>
      </c>
      <c r="E11" s="2" t="s">
        <v>26</v>
      </c>
      <c r="F11" s="2" t="s">
        <v>27</v>
      </c>
      <c r="G11" s="5">
        <v>30</v>
      </c>
      <c r="H11" s="6">
        <v>1</v>
      </c>
      <c r="I11" s="5">
        <v>30</v>
      </c>
      <c r="J11" s="8">
        <v>78</v>
      </c>
      <c r="K11" s="4">
        <f t="shared" si="0"/>
        <v>2340</v>
      </c>
      <c r="L11" s="6">
        <f t="shared" si="1"/>
        <v>77</v>
      </c>
      <c r="M11" s="5">
        <f t="shared" si="2"/>
        <v>2310</v>
      </c>
      <c r="N11" s="3">
        <v>45880</v>
      </c>
      <c r="O11" s="3">
        <v>45900</v>
      </c>
    </row>
    <row r="12" spans="1:15" x14ac:dyDescent="0.2">
      <c r="A12" s="2" t="s">
        <v>46</v>
      </c>
      <c r="B12" s="2" t="s">
        <v>47</v>
      </c>
      <c r="C12" s="2" t="s">
        <v>45</v>
      </c>
      <c r="D12" s="2" t="s">
        <v>10</v>
      </c>
      <c r="E12" s="2" t="s">
        <v>28</v>
      </c>
      <c r="F12" s="2" t="s">
        <v>27</v>
      </c>
      <c r="G12" s="5">
        <v>30</v>
      </c>
      <c r="H12" s="6">
        <v>1</v>
      </c>
      <c r="I12" s="5">
        <v>30</v>
      </c>
      <c r="J12" s="8">
        <v>0</v>
      </c>
      <c r="K12" s="4">
        <f t="shared" si="0"/>
        <v>0</v>
      </c>
      <c r="L12" s="6">
        <f t="shared" si="1"/>
        <v>-1</v>
      </c>
      <c r="M12" s="5">
        <f t="shared" si="2"/>
        <v>-30</v>
      </c>
      <c r="N12" s="3">
        <v>45880</v>
      </c>
      <c r="O12" s="3">
        <v>45900</v>
      </c>
    </row>
    <row r="13" spans="1:15" x14ac:dyDescent="0.2">
      <c r="A13" s="2" t="s">
        <v>46</v>
      </c>
      <c r="B13" s="2" t="s">
        <v>47</v>
      </c>
      <c r="C13" s="2" t="s">
        <v>45</v>
      </c>
      <c r="D13" s="2" t="s">
        <v>10</v>
      </c>
      <c r="E13" s="2" t="s">
        <v>29</v>
      </c>
      <c r="F13" s="2" t="s">
        <v>30</v>
      </c>
      <c r="G13" s="5">
        <v>30</v>
      </c>
      <c r="H13" s="6">
        <v>1</v>
      </c>
      <c r="I13" s="5">
        <v>30</v>
      </c>
      <c r="J13" s="8">
        <v>288</v>
      </c>
      <c r="K13" s="4">
        <f t="shared" si="0"/>
        <v>8640</v>
      </c>
      <c r="L13" s="6">
        <f t="shared" si="1"/>
        <v>287</v>
      </c>
      <c r="M13" s="5">
        <f t="shared" si="2"/>
        <v>8610</v>
      </c>
      <c r="N13" s="3">
        <v>45880</v>
      </c>
      <c r="O13" s="3">
        <v>45900</v>
      </c>
    </row>
    <row r="14" spans="1:15" x14ac:dyDescent="0.2">
      <c r="A14" s="2" t="s">
        <v>46</v>
      </c>
      <c r="B14" s="2" t="s">
        <v>47</v>
      </c>
      <c r="C14" s="2" t="s">
        <v>45</v>
      </c>
      <c r="D14" s="2" t="s">
        <v>10</v>
      </c>
      <c r="E14" s="2" t="s">
        <v>31</v>
      </c>
      <c r="F14" s="2" t="s">
        <v>30</v>
      </c>
      <c r="G14" s="5">
        <v>30</v>
      </c>
      <c r="H14" s="6">
        <v>1</v>
      </c>
      <c r="I14" s="5">
        <v>30</v>
      </c>
      <c r="J14" s="8">
        <v>0</v>
      </c>
      <c r="K14" s="4">
        <f t="shared" si="0"/>
        <v>0</v>
      </c>
      <c r="L14" s="6">
        <f t="shared" si="1"/>
        <v>-1</v>
      </c>
      <c r="M14" s="5">
        <f t="shared" si="2"/>
        <v>-30</v>
      </c>
      <c r="N14" s="3">
        <v>45880</v>
      </c>
      <c r="O14" s="3">
        <v>45900</v>
      </c>
    </row>
    <row r="15" spans="1:15" x14ac:dyDescent="0.2">
      <c r="A15" s="2" t="s">
        <v>46</v>
      </c>
      <c r="B15" s="2" t="s">
        <v>47</v>
      </c>
      <c r="C15" s="2" t="s">
        <v>45</v>
      </c>
      <c r="D15" s="2" t="s">
        <v>10</v>
      </c>
      <c r="E15" s="2" t="s">
        <v>32</v>
      </c>
      <c r="F15" s="2" t="s">
        <v>33</v>
      </c>
      <c r="G15" s="5">
        <v>30</v>
      </c>
      <c r="H15" s="6">
        <v>39</v>
      </c>
      <c r="I15" s="5">
        <v>1170</v>
      </c>
      <c r="J15" s="8">
        <v>78</v>
      </c>
      <c r="K15" s="4">
        <f t="shared" si="0"/>
        <v>2340</v>
      </c>
      <c r="L15" s="6">
        <f t="shared" si="1"/>
        <v>39</v>
      </c>
      <c r="M15" s="5">
        <f t="shared" si="2"/>
        <v>1170</v>
      </c>
      <c r="N15" s="3">
        <v>45880</v>
      </c>
      <c r="O15" s="3">
        <v>45900</v>
      </c>
    </row>
    <row r="16" spans="1:15" x14ac:dyDescent="0.2">
      <c r="A16" s="2" t="s">
        <v>46</v>
      </c>
      <c r="B16" s="2" t="s">
        <v>47</v>
      </c>
      <c r="C16" s="2" t="s">
        <v>45</v>
      </c>
      <c r="D16" s="2" t="s">
        <v>10</v>
      </c>
      <c r="E16" s="2" t="s">
        <v>34</v>
      </c>
      <c r="F16" s="2" t="s">
        <v>33</v>
      </c>
      <c r="G16" s="5">
        <v>30</v>
      </c>
      <c r="H16" s="6">
        <v>1</v>
      </c>
      <c r="I16" s="5">
        <v>30</v>
      </c>
      <c r="J16" s="8">
        <v>0</v>
      </c>
      <c r="K16" s="4">
        <f t="shared" si="0"/>
        <v>0</v>
      </c>
      <c r="L16" s="6">
        <f t="shared" si="1"/>
        <v>-1</v>
      </c>
      <c r="M16" s="5">
        <f t="shared" si="2"/>
        <v>-30</v>
      </c>
      <c r="N16" s="3">
        <v>45880</v>
      </c>
      <c r="O16" s="3">
        <v>45900</v>
      </c>
    </row>
    <row r="17" spans="1:15" x14ac:dyDescent="0.2">
      <c r="A17" s="2" t="s">
        <v>46</v>
      </c>
      <c r="B17" s="2" t="s">
        <v>47</v>
      </c>
      <c r="C17" s="2" t="s">
        <v>45</v>
      </c>
      <c r="D17" s="2" t="s">
        <v>10</v>
      </c>
      <c r="E17" s="2" t="s">
        <v>35</v>
      </c>
      <c r="F17" s="2" t="s">
        <v>36</v>
      </c>
      <c r="G17" s="5">
        <v>30</v>
      </c>
      <c r="H17" s="6">
        <v>1</v>
      </c>
      <c r="I17" s="5">
        <v>30</v>
      </c>
      <c r="J17" s="8">
        <v>112</v>
      </c>
      <c r="K17" s="4">
        <f t="shared" si="0"/>
        <v>3360</v>
      </c>
      <c r="L17" s="6">
        <f t="shared" si="1"/>
        <v>111</v>
      </c>
      <c r="M17" s="5">
        <f t="shared" si="2"/>
        <v>3330</v>
      </c>
      <c r="N17" s="3">
        <v>45880</v>
      </c>
      <c r="O17" s="3">
        <v>45900</v>
      </c>
    </row>
    <row r="18" spans="1:15" x14ac:dyDescent="0.2">
      <c r="A18" s="2" t="s">
        <v>46</v>
      </c>
      <c r="B18" s="2" t="s">
        <v>47</v>
      </c>
      <c r="C18" s="2" t="s">
        <v>45</v>
      </c>
      <c r="D18" s="2" t="s">
        <v>10</v>
      </c>
      <c r="E18" s="2" t="s">
        <v>37</v>
      </c>
      <c r="F18" s="2" t="s">
        <v>38</v>
      </c>
      <c r="G18" s="5">
        <v>30</v>
      </c>
      <c r="H18" s="6">
        <v>146</v>
      </c>
      <c r="I18" s="5">
        <v>4380</v>
      </c>
      <c r="J18" s="8">
        <v>67</v>
      </c>
      <c r="K18" s="4">
        <f t="shared" si="0"/>
        <v>2010</v>
      </c>
      <c r="L18" s="6">
        <f t="shared" si="1"/>
        <v>-79</v>
      </c>
      <c r="M18" s="5">
        <f t="shared" si="2"/>
        <v>-2370</v>
      </c>
      <c r="N18" s="3">
        <v>45880</v>
      </c>
      <c r="O18" s="3">
        <v>45900</v>
      </c>
    </row>
    <row r="19" spans="1:15" x14ac:dyDescent="0.2">
      <c r="A19" s="2" t="s">
        <v>46</v>
      </c>
      <c r="B19" s="2" t="s">
        <v>47</v>
      </c>
      <c r="C19" s="2" t="s">
        <v>45</v>
      </c>
      <c r="D19" s="2" t="s">
        <v>10</v>
      </c>
      <c r="E19" s="2" t="s">
        <v>39</v>
      </c>
      <c r="F19" s="2" t="s">
        <v>40</v>
      </c>
      <c r="G19" s="5">
        <v>30</v>
      </c>
      <c r="H19" s="6">
        <v>435</v>
      </c>
      <c r="I19" s="5">
        <v>13050</v>
      </c>
      <c r="J19" s="8">
        <v>188</v>
      </c>
      <c r="K19" s="4">
        <f t="shared" si="0"/>
        <v>5640</v>
      </c>
      <c r="L19" s="6">
        <f t="shared" si="1"/>
        <v>-247</v>
      </c>
      <c r="M19" s="5">
        <f t="shared" si="2"/>
        <v>-7410</v>
      </c>
      <c r="N19" s="3">
        <v>45880</v>
      </c>
      <c r="O19" s="3">
        <v>45900</v>
      </c>
    </row>
    <row r="20" spans="1:15" x14ac:dyDescent="0.2">
      <c r="A20" s="2" t="s">
        <v>46</v>
      </c>
      <c r="B20" s="2" t="s">
        <v>47</v>
      </c>
      <c r="C20" s="2" t="s">
        <v>45</v>
      </c>
      <c r="D20" s="2" t="s">
        <v>10</v>
      </c>
      <c r="E20" s="2" t="s">
        <v>41</v>
      </c>
      <c r="F20" s="2" t="s">
        <v>42</v>
      </c>
      <c r="G20" s="5">
        <v>30</v>
      </c>
      <c r="H20" s="6">
        <v>111</v>
      </c>
      <c r="I20" s="5">
        <v>3330</v>
      </c>
      <c r="J20" s="8">
        <v>50</v>
      </c>
      <c r="K20" s="4">
        <f t="shared" si="0"/>
        <v>1500</v>
      </c>
      <c r="L20" s="6">
        <f t="shared" si="1"/>
        <v>-61</v>
      </c>
      <c r="M20" s="5">
        <f t="shared" si="2"/>
        <v>-1830</v>
      </c>
      <c r="N20" s="3">
        <v>45880</v>
      </c>
      <c r="O20" s="3">
        <v>45900</v>
      </c>
    </row>
    <row r="21" spans="1:15" x14ac:dyDescent="0.2">
      <c r="A21" s="2" t="s">
        <v>46</v>
      </c>
      <c r="B21" s="2" t="s">
        <v>47</v>
      </c>
      <c r="C21" s="2" t="s">
        <v>45</v>
      </c>
      <c r="D21" s="2" t="s">
        <v>10</v>
      </c>
      <c r="E21" s="2" t="s">
        <v>43</v>
      </c>
      <c r="F21" s="2" t="s">
        <v>44</v>
      </c>
      <c r="G21" s="5">
        <v>30</v>
      </c>
      <c r="H21" s="6">
        <v>205</v>
      </c>
      <c r="I21" s="5">
        <v>6150</v>
      </c>
      <c r="J21" s="8">
        <v>50</v>
      </c>
      <c r="K21" s="4">
        <f t="shared" si="0"/>
        <v>1500</v>
      </c>
      <c r="L21" s="6">
        <f t="shared" si="1"/>
        <v>-155</v>
      </c>
      <c r="M21" s="5">
        <f t="shared" si="2"/>
        <v>-4650</v>
      </c>
      <c r="N21" s="3">
        <v>45880</v>
      </c>
      <c r="O21" s="3">
        <v>45900</v>
      </c>
    </row>
    <row r="22" spans="1:15" x14ac:dyDescent="0.2">
      <c r="A22" s="2" t="s">
        <v>49</v>
      </c>
      <c r="B22" s="2" t="s">
        <v>50</v>
      </c>
      <c r="C22" s="2" t="s">
        <v>48</v>
      </c>
      <c r="D22" s="2" t="s">
        <v>10</v>
      </c>
      <c r="E22" s="2" t="s">
        <v>8</v>
      </c>
      <c r="F22" s="2" t="s">
        <v>8</v>
      </c>
      <c r="G22" s="5">
        <v>10</v>
      </c>
      <c r="H22" s="6">
        <v>361</v>
      </c>
      <c r="I22" s="5">
        <v>3610</v>
      </c>
      <c r="J22" s="8">
        <v>0</v>
      </c>
      <c r="K22" s="4">
        <f t="shared" ref="K22:K23" si="3">J22*$G22</f>
        <v>0</v>
      </c>
      <c r="L22" s="6">
        <f t="shared" ref="L22:L23" si="4">J22-H22</f>
        <v>-361</v>
      </c>
      <c r="M22" s="5">
        <f t="shared" ref="M22:M23" si="5">K22-I22</f>
        <v>-3610</v>
      </c>
      <c r="N22" s="3">
        <v>45894</v>
      </c>
      <c r="O22" s="3">
        <v>45900</v>
      </c>
    </row>
    <row r="23" spans="1:15" x14ac:dyDescent="0.2">
      <c r="A23" s="2" t="s">
        <v>49</v>
      </c>
      <c r="B23" s="2" t="s">
        <v>50</v>
      </c>
      <c r="C23" s="2" t="s">
        <v>48</v>
      </c>
      <c r="D23" s="2" t="s">
        <v>10</v>
      </c>
      <c r="E23" s="2" t="s">
        <v>9</v>
      </c>
      <c r="F23" s="2" t="s">
        <v>9</v>
      </c>
      <c r="G23" s="5">
        <v>10</v>
      </c>
      <c r="H23" s="6">
        <v>763</v>
      </c>
      <c r="I23" s="5">
        <v>7630</v>
      </c>
      <c r="J23" s="8">
        <v>0</v>
      </c>
      <c r="K23" s="4">
        <f t="shared" si="3"/>
        <v>0</v>
      </c>
      <c r="L23" s="6">
        <f t="shared" si="4"/>
        <v>-763</v>
      </c>
      <c r="M23" s="5">
        <f t="shared" si="5"/>
        <v>-7630</v>
      </c>
      <c r="N23" s="3">
        <v>45894</v>
      </c>
      <c r="O23" s="3">
        <v>45900</v>
      </c>
    </row>
  </sheetData>
  <autoFilter ref="A1:O2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2025-08-26T13:38:53Z</dcterms:created>
  <dcterms:modified xsi:type="dcterms:W3CDTF">2025-08-28T21:55:07Z</dcterms:modified>
  <cp:category/>
</cp:coreProperties>
</file>