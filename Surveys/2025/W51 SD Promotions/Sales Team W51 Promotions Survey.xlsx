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1 SD Promotions\"/>
    </mc:Choice>
  </mc:AlternateContent>
  <xr:revisionPtr revIDLastSave="0" documentId="13_ncr:1_{6F4CC79C-D3C3-4D41-90AC-E237B51491D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ignore- we sent this to Samsung" sheetId="14" r:id="rId1"/>
    <sheet name="As of now" sheetId="13" r:id="rId2"/>
  </sheets>
  <definedNames>
    <definedName name="_xlnm._FilterDatabase" localSheetId="1" hidden="1">'As of now'!$A$1:$N$8</definedName>
    <definedName name="_xlnm._FilterDatabase" localSheetId="0" hidden="1">'ignore- we sent this to Samsung'!$A$1:$N$8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4" l="1"/>
  <c r="L8" i="14" s="1"/>
  <c r="G8" i="14"/>
  <c r="M8" i="14" s="1"/>
  <c r="N8" i="14" s="1"/>
  <c r="J7" i="14"/>
  <c r="L7" i="14" s="1"/>
  <c r="G7" i="14"/>
  <c r="P4" i="14" s="1"/>
  <c r="J6" i="14"/>
  <c r="L6" i="14" s="1"/>
  <c r="G6" i="14"/>
  <c r="J5" i="14"/>
  <c r="L5" i="14" s="1"/>
  <c r="G5" i="14"/>
  <c r="J4" i="14"/>
  <c r="L4" i="14" s="1"/>
  <c r="G4" i="14"/>
  <c r="P3" i="14"/>
  <c r="J3" i="14"/>
  <c r="L3" i="14" s="1"/>
  <c r="M3" i="14" s="1"/>
  <c r="N3" i="14" s="1"/>
  <c r="G3" i="14"/>
  <c r="P2" i="14"/>
  <c r="J2" i="14"/>
  <c r="K2" i="14" s="1"/>
  <c r="G2" i="14"/>
  <c r="J8" i="13"/>
  <c r="K8" i="13" s="1"/>
  <c r="G8" i="13"/>
  <c r="J7" i="13"/>
  <c r="L7" i="13" s="1"/>
  <c r="G7" i="13"/>
  <c r="J4" i="13"/>
  <c r="K4" i="13" s="1"/>
  <c r="G4" i="13"/>
  <c r="J6" i="13"/>
  <c r="L6" i="13" s="1"/>
  <c r="G6" i="13"/>
  <c r="J5" i="13"/>
  <c r="L5" i="13" s="1"/>
  <c r="G5" i="13"/>
  <c r="G3" i="13"/>
  <c r="J3" i="13"/>
  <c r="K3" i="13" s="1"/>
  <c r="G2" i="13"/>
  <c r="J2" i="13"/>
  <c r="K2" i="13" s="1"/>
  <c r="P3" i="13" l="1"/>
  <c r="M4" i="14"/>
  <c r="N4" i="14" s="1"/>
  <c r="L2" i="14"/>
  <c r="M2" i="14" s="1"/>
  <c r="N2" i="14" s="1"/>
  <c r="Q3" i="14"/>
  <c r="M6" i="14"/>
  <c r="N6" i="14" s="1"/>
  <c r="S2" i="14"/>
  <c r="M5" i="14"/>
  <c r="N5" i="14" s="1"/>
  <c r="Q4" i="14"/>
  <c r="T2" i="14" s="1"/>
  <c r="M7" i="14"/>
  <c r="N7" i="14" s="1"/>
  <c r="K7" i="14"/>
  <c r="K4" i="14"/>
  <c r="K6" i="14"/>
  <c r="K8" i="14"/>
  <c r="K5" i="14"/>
  <c r="K3" i="14"/>
  <c r="P4" i="13"/>
  <c r="P2" i="13"/>
  <c r="Q3" i="13"/>
  <c r="L8" i="13"/>
  <c r="M8" i="13" s="1"/>
  <c r="N8" i="13" s="1"/>
  <c r="M7" i="13"/>
  <c r="N7" i="13" s="1"/>
  <c r="K7" i="13"/>
  <c r="L4" i="13"/>
  <c r="M4" i="13" s="1"/>
  <c r="N4" i="13" s="1"/>
  <c r="M6" i="13"/>
  <c r="N6" i="13" s="1"/>
  <c r="M5" i="13"/>
  <c r="N5" i="13" s="1"/>
  <c r="K5" i="13"/>
  <c r="K6" i="13"/>
  <c r="L3" i="13"/>
  <c r="L2" i="13"/>
  <c r="Q2" i="14" l="1"/>
  <c r="R2" i="14" s="1"/>
  <c r="Q2" i="13"/>
  <c r="R2" i="13" s="1"/>
  <c r="Q4" i="13"/>
  <c r="T2" i="13" s="1"/>
  <c r="S2" i="13"/>
  <c r="M3" i="13"/>
  <c r="N3" i="13" s="1"/>
  <c r="M2" i="13"/>
  <c r="N2" i="13" s="1"/>
</calcChain>
</file>

<file path=xl/sharedStrings.xml><?xml version="1.0" encoding="utf-8"?>
<sst xmlns="http://schemas.openxmlformats.org/spreadsheetml/2006/main" count="84" uniqueCount="26">
  <si>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</si>
  <si>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</si>
  <si>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</si>
  <si>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</si>
  <si>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</si>
  <si>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</si>
  <si>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</si>
  <si>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</si>
  <si>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</si>
  <si>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</si>
  <si>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</si>
  <si>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</si>
  <si>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</si>
  <si>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G-Z-FLIP7</t>
  </si>
  <si>
    <t>G-Z-FLIP7-FE</t>
  </si>
  <si>
    <t>G-Z-FOLD7</t>
  </si>
  <si>
    <t>G-WATCH8</t>
  </si>
  <si>
    <t>G-WATCH8-CLASSIC</t>
  </si>
  <si>
    <t>G-BUDS-CORE</t>
  </si>
  <si>
    <t>G-BUDS3-FE</t>
  </si>
  <si>
    <t>W49-W51 Buds Series ST</t>
  </si>
  <si>
    <t>W49-W51 Foldables Series Sustain ST</t>
  </si>
  <si>
    <t>W49-W51 Watch8 Sustain ST</t>
  </si>
  <si>
    <t>A0S3A0A250001195</t>
  </si>
  <si>
    <t>A0S3A0A250001202</t>
  </si>
  <si>
    <t>A0S3A0A250001211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</si>
</sst>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0" fontId="2" fillId="5" borderId="1" xfId="0" quotePrefix="1" applyFont="1" applyFill="1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B4D1-8F46-414A-BCE5-4F10E1FA1B93}">
  <dimension ref="A1:T12"/>
  <sheetViews>
    <sheetView showGridLines="0" topLeftCell="B1" zoomScale="175" zoomScaleNormal="175" workbookViewId="0">
      <pane ySplit="1" topLeftCell="A2" activePane="bottomLeft" state="frozen"/>
      <selection pane="bottomLeft" activeCell="J2" sqref="J2:J8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1195</v>
      </c>
      <c r="S1" s="11">
        <v>1202</v>
      </c>
      <c r="T1" s="11">
        <v>1211</v>
      </c>
    </row>
    <row r="2" spans="1:20" ht="18" customHeight="1" x14ac:dyDescent="0.2">
      <c r="A2" s="14" t="s">
        <v>23</v>
      </c>
      <c r="B2" s="14" t="s">
        <v>22</v>
      </c>
      <c r="C2" s="14" t="s">
        <v>13</v>
      </c>
      <c r="D2" s="14" t="s">
        <v>13</v>
      </c>
      <c r="E2" s="2">
        <v>80</v>
      </c>
      <c r="F2" s="16">
        <v>18</v>
      </c>
      <c r="G2" s="2">
        <f t="shared" ref="G2:G8" si="0">E2*F2</f>
        <v>1440</v>
      </c>
      <c r="H2" s="3">
        <v>3</v>
      </c>
      <c r="I2" s="3"/>
      <c r="J2" s="3">
        <f t="shared" ref="J2:J8" si="1">H2+I2</f>
        <v>3</v>
      </c>
      <c r="K2" s="3">
        <f t="shared" ref="K2:K8" si="2">F2-J2</f>
        <v>15</v>
      </c>
      <c r="L2" s="4">
        <f t="shared" ref="L2:L8" si="3">J2*E2</f>
        <v>240</v>
      </c>
      <c r="M2" s="4">
        <f t="shared" ref="M2:M8" si="4">G2-L2</f>
        <v>1200</v>
      </c>
      <c r="N2" s="13" t="str">
        <f t="shared" ref="N2:N8" si="5">IF(M2&gt;0,"KEEP SELLING", "DO NOT SELL")</f>
        <v>KEEP SELLING</v>
      </c>
      <c r="P2" s="10">
        <f>SUM(G2:G4)</f>
        <v>45900</v>
      </c>
      <c r="Q2" s="9">
        <f>SUM(L2:L4)</f>
        <v>20000</v>
      </c>
      <c r="R2" s="12">
        <f>P2-Q2</f>
        <v>25900</v>
      </c>
      <c r="S2" s="12">
        <f>P3-Q3</f>
        <v>57105</v>
      </c>
      <c r="T2" s="12">
        <f>P4-Q4</f>
        <v>34</v>
      </c>
    </row>
    <row r="3" spans="1:20" ht="18" customHeight="1" x14ac:dyDescent="0.2">
      <c r="A3" s="14" t="s">
        <v>23</v>
      </c>
      <c r="B3" s="14" t="s">
        <v>22</v>
      </c>
      <c r="C3" s="14" t="s">
        <v>14</v>
      </c>
      <c r="D3" s="14" t="s">
        <v>14</v>
      </c>
      <c r="E3" s="2">
        <v>120</v>
      </c>
      <c r="F3" s="16">
        <v>328</v>
      </c>
      <c r="G3" s="2">
        <f t="shared" si="0"/>
        <v>39360</v>
      </c>
      <c r="H3" s="3">
        <v>73</v>
      </c>
      <c r="I3" s="3">
        <v>50</v>
      </c>
      <c r="J3" s="3">
        <f t="shared" si="1"/>
        <v>123</v>
      </c>
      <c r="K3" s="3">
        <f t="shared" si="2"/>
        <v>205</v>
      </c>
      <c r="L3" s="4">
        <f t="shared" si="3"/>
        <v>14760</v>
      </c>
      <c r="M3" s="4">
        <f t="shared" si="4"/>
        <v>24600</v>
      </c>
      <c r="N3" s="13" t="str">
        <f t="shared" si="5"/>
        <v>KEEP SELLING</v>
      </c>
      <c r="P3" s="10">
        <f>SUM(G5:G6)</f>
        <v>132018</v>
      </c>
      <c r="Q3" s="9">
        <f>SUM(L5:L6)</f>
        <v>74913</v>
      </c>
    </row>
    <row r="4" spans="1:20" ht="18" customHeight="1" x14ac:dyDescent="0.2">
      <c r="A4" s="14" t="s">
        <v>23</v>
      </c>
      <c r="B4" s="14" t="s">
        <v>22</v>
      </c>
      <c r="C4" s="14" t="s">
        <v>15</v>
      </c>
      <c r="D4" s="14" t="s">
        <v>15</v>
      </c>
      <c r="E4" s="2">
        <v>100</v>
      </c>
      <c r="F4" s="16">
        <v>51</v>
      </c>
      <c r="G4" s="2">
        <f t="shared" si="0"/>
        <v>5100</v>
      </c>
      <c r="H4" s="3">
        <v>29</v>
      </c>
      <c r="I4" s="3">
        <v>21</v>
      </c>
      <c r="J4" s="3">
        <f t="shared" si="1"/>
        <v>50</v>
      </c>
      <c r="K4" s="3">
        <f t="shared" si="2"/>
        <v>1</v>
      </c>
      <c r="L4" s="4">
        <f t="shared" si="3"/>
        <v>5000</v>
      </c>
      <c r="M4" s="4">
        <f t="shared" si="4"/>
        <v>100</v>
      </c>
      <c r="N4" s="13" t="str">
        <f t="shared" si="5"/>
        <v>KEEP SELLING</v>
      </c>
      <c r="P4" s="10">
        <f>SUM(G7:G8)</f>
        <v>28036</v>
      </c>
      <c r="Q4" s="9">
        <f>SUM(L7:L8)</f>
        <v>28002</v>
      </c>
    </row>
    <row r="5" spans="1:20" ht="18" customHeight="1" x14ac:dyDescent="0.2">
      <c r="A5" s="14" t="s">
        <v>24</v>
      </c>
      <c r="B5" s="14" t="s">
        <v>21</v>
      </c>
      <c r="C5" s="14" t="s">
        <v>16</v>
      </c>
      <c r="D5" s="14" t="s">
        <v>16</v>
      </c>
      <c r="E5" s="2">
        <v>43</v>
      </c>
      <c r="F5" s="16">
        <v>2182</v>
      </c>
      <c r="G5" s="2">
        <f t="shared" si="0"/>
        <v>93826</v>
      </c>
      <c r="H5" s="3">
        <v>709</v>
      </c>
      <c r="I5" s="3">
        <v>333</v>
      </c>
      <c r="J5" s="3">
        <f t="shared" si="1"/>
        <v>1042</v>
      </c>
      <c r="K5" s="3">
        <f t="shared" si="2"/>
        <v>1140</v>
      </c>
      <c r="L5" s="4">
        <f t="shared" si="3"/>
        <v>44806</v>
      </c>
      <c r="M5" s="4">
        <f t="shared" si="4"/>
        <v>49020</v>
      </c>
      <c r="N5" s="13" t="str">
        <f t="shared" si="5"/>
        <v>KEEP SELLING</v>
      </c>
      <c r="P5" s="10"/>
      <c r="Q5" s="9"/>
    </row>
    <row r="6" spans="1:20" ht="18" customHeight="1" x14ac:dyDescent="0.2">
      <c r="A6" s="14" t="s">
        <v>24</v>
      </c>
      <c r="B6" s="14" t="s">
        <v>21</v>
      </c>
      <c r="C6" s="14" t="s">
        <v>17</v>
      </c>
      <c r="D6" s="14" t="s">
        <v>17</v>
      </c>
      <c r="E6" s="2">
        <v>77</v>
      </c>
      <c r="F6" s="16">
        <v>496</v>
      </c>
      <c r="G6" s="2">
        <f t="shared" si="0"/>
        <v>38192</v>
      </c>
      <c r="H6" s="3">
        <v>248</v>
      </c>
      <c r="I6" s="3">
        <v>143</v>
      </c>
      <c r="J6" s="3">
        <f t="shared" si="1"/>
        <v>391</v>
      </c>
      <c r="K6" s="3">
        <f t="shared" si="2"/>
        <v>105</v>
      </c>
      <c r="L6" s="4">
        <f t="shared" si="3"/>
        <v>30107</v>
      </c>
      <c r="M6" s="4">
        <f t="shared" si="4"/>
        <v>8085</v>
      </c>
      <c r="N6" s="13" t="str">
        <f t="shared" si="5"/>
        <v>KEEP SELLING</v>
      </c>
    </row>
    <row r="7" spans="1:20" ht="18" customHeight="1" x14ac:dyDescent="0.2">
      <c r="A7" s="14" t="s">
        <v>25</v>
      </c>
      <c r="B7" s="14" t="s">
        <v>20</v>
      </c>
      <c r="C7" s="14" t="s">
        <v>18</v>
      </c>
      <c r="D7" s="14" t="s">
        <v>18</v>
      </c>
      <c r="E7" s="2">
        <v>34</v>
      </c>
      <c r="F7" s="16">
        <v>554</v>
      </c>
      <c r="G7" s="2">
        <f t="shared" si="0"/>
        <v>18836</v>
      </c>
      <c r="H7" s="3">
        <v>553</v>
      </c>
      <c r="I7" s="3"/>
      <c r="J7" s="3">
        <f t="shared" si="1"/>
        <v>553</v>
      </c>
      <c r="K7" s="3">
        <f t="shared" si="2"/>
        <v>1</v>
      </c>
      <c r="L7" s="4">
        <f t="shared" si="3"/>
        <v>18802</v>
      </c>
      <c r="M7" s="4">
        <f t="shared" si="4"/>
        <v>34</v>
      </c>
      <c r="N7" s="13" t="str">
        <f t="shared" si="5"/>
        <v>KEEP SELLING</v>
      </c>
    </row>
    <row r="8" spans="1:20" ht="18" customHeight="1" x14ac:dyDescent="0.2">
      <c r="A8" s="14" t="s">
        <v>25</v>
      </c>
      <c r="B8" s="14" t="s">
        <v>20</v>
      </c>
      <c r="C8" s="14" t="s">
        <v>19</v>
      </c>
      <c r="D8" s="14" t="s">
        <v>19</v>
      </c>
      <c r="E8" s="2">
        <v>92</v>
      </c>
      <c r="F8" s="16">
        <v>100</v>
      </c>
      <c r="G8" s="2">
        <f t="shared" si="0"/>
        <v>9200</v>
      </c>
      <c r="H8" s="3">
        <v>100</v>
      </c>
      <c r="I8" s="3"/>
      <c r="J8" s="3">
        <f t="shared" si="1"/>
        <v>100</v>
      </c>
      <c r="K8" s="3">
        <f t="shared" si="2"/>
        <v>0</v>
      </c>
      <c r="L8" s="4">
        <f t="shared" si="3"/>
        <v>9200</v>
      </c>
      <c r="M8" s="4">
        <f t="shared" si="4"/>
        <v>0</v>
      </c>
      <c r="N8" s="13" t="str">
        <f t="shared" si="5"/>
        <v>DO NOT SELL</v>
      </c>
    </row>
    <row r="11" spans="1:20" ht="18" customHeight="1" x14ac:dyDescent="0.2">
      <c r="E11" s="8"/>
    </row>
    <row r="12" spans="1:20" ht="18" customHeight="1" x14ac:dyDescent="0.2">
      <c r="E12" s="8"/>
    </row>
  </sheetData>
  <autoFilter ref="A1:N8" xr:uid="{824B3D37-9A6F-4650-B475-D01F00096AE9}"/>
  <conditionalFormatting sqref="H2:I8 K2:N8">
    <cfRule type="cellIs" dxfId="5" priority="1" operator="lessThan">
      <formula>0</formula>
    </cfRule>
  </conditionalFormatting>
  <conditionalFormatting sqref="N1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12"/>
  <sheetViews>
    <sheetView showGridLines="0" tabSelected="1" topLeftCell="B1" zoomScale="175" zoomScaleNormal="175" workbookViewId="0">
      <pane ySplit="1" topLeftCell="A2" activePane="bottomLeft" state="frozen"/>
      <selection pane="bottomLeft" activeCell="K7" sqref="K7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9" width="11.42578125" bestFit="1" customWidth="1"/>
    <col min="20" max="20" width="12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>
        <v>1195</v>
      </c>
      <c r="S1" s="11">
        <v>1202</v>
      </c>
      <c r="T1" s="11">
        <v>1211</v>
      </c>
    </row>
    <row r="2" spans="1:20" ht="18" customHeight="1" x14ac:dyDescent="0.2">
      <c r="A2" s="14" t="s">
        <v>23</v>
      </c>
      <c r="B2" s="14" t="s">
        <v>22</v>
      </c>
      <c r="C2" s="14" t="s">
        <v>13</v>
      </c>
      <c r="D2" s="14" t="s">
        <v>13</v>
      </c>
      <c r="E2" s="2">
        <v>80</v>
      </c>
      <c r="F2" s="16">
        <v>3</v>
      </c>
      <c r="G2" s="2">
        <f t="shared" ref="G2:G6" si="0">E2*F2</f>
        <v>240</v>
      </c>
      <c r="H2" s="3">
        <v>3</v>
      </c>
      <c r="I2" s="3"/>
      <c r="J2" s="3">
        <f t="shared" ref="J2:J6" si="1">H2+I2</f>
        <v>3</v>
      </c>
      <c r="K2" s="3">
        <f t="shared" ref="K2:K6" si="2">F2-J2</f>
        <v>0</v>
      </c>
      <c r="L2" s="4">
        <f t="shared" ref="L2:L6" si="3">J2*E2</f>
        <v>240</v>
      </c>
      <c r="M2" s="4">
        <f t="shared" ref="M2:M6" si="4">G2-L2</f>
        <v>0</v>
      </c>
      <c r="N2" s="13" t="str">
        <f t="shared" ref="N2:N6" si="5">IF(M2&gt;0,"KEEP SELLING", "DO NOT SELL")</f>
        <v>DO NOT SELL</v>
      </c>
      <c r="P2" s="10">
        <f>SUM(G2:G4)</f>
        <v>20000</v>
      </c>
      <c r="Q2" s="9">
        <f>SUM(L2:L4)</f>
        <v>11900</v>
      </c>
      <c r="R2" s="12">
        <f>P2-Q2</f>
        <v>8100</v>
      </c>
      <c r="S2" s="12">
        <f>P3-Q3</f>
        <v>25158</v>
      </c>
      <c r="T2" s="12">
        <f>P4-Q4</f>
        <v>0</v>
      </c>
    </row>
    <row r="3" spans="1:20" ht="18" customHeight="1" x14ac:dyDescent="0.2">
      <c r="A3" s="14" t="s">
        <v>23</v>
      </c>
      <c r="B3" s="14" t="s">
        <v>22</v>
      </c>
      <c r="C3" s="14" t="s">
        <v>14</v>
      </c>
      <c r="D3" s="14" t="s">
        <v>14</v>
      </c>
      <c r="E3" s="2">
        <v>120</v>
      </c>
      <c r="F3" s="16">
        <v>123</v>
      </c>
      <c r="G3" s="2">
        <f t="shared" si="0"/>
        <v>14760</v>
      </c>
      <c r="H3" s="3">
        <v>73</v>
      </c>
      <c r="I3" s="3"/>
      <c r="J3" s="3">
        <f t="shared" si="1"/>
        <v>73</v>
      </c>
      <c r="K3" s="3">
        <f t="shared" si="2"/>
        <v>50</v>
      </c>
      <c r="L3" s="4">
        <f t="shared" si="3"/>
        <v>8760</v>
      </c>
      <c r="M3" s="4">
        <f t="shared" si="4"/>
        <v>6000</v>
      </c>
      <c r="N3" s="13" t="str">
        <f t="shared" si="5"/>
        <v>KEEP SELLING</v>
      </c>
      <c r="P3" s="10">
        <f>SUM(G5:G6)</f>
        <v>74913</v>
      </c>
      <c r="Q3" s="9">
        <f>SUM(L5:L6)</f>
        <v>49755</v>
      </c>
    </row>
    <row r="4" spans="1:20" ht="18" customHeight="1" x14ac:dyDescent="0.2">
      <c r="A4" s="14" t="s">
        <v>23</v>
      </c>
      <c r="B4" s="14" t="s">
        <v>22</v>
      </c>
      <c r="C4" s="14" t="s">
        <v>15</v>
      </c>
      <c r="D4" s="14" t="s">
        <v>15</v>
      </c>
      <c r="E4" s="2">
        <v>100</v>
      </c>
      <c r="F4" s="16">
        <v>50</v>
      </c>
      <c r="G4" s="2">
        <f t="shared" si="0"/>
        <v>5000</v>
      </c>
      <c r="H4" s="3">
        <v>29</v>
      </c>
      <c r="I4" s="3"/>
      <c r="J4" s="3">
        <f t="shared" si="1"/>
        <v>29</v>
      </c>
      <c r="K4" s="3">
        <f t="shared" si="2"/>
        <v>21</v>
      </c>
      <c r="L4" s="4">
        <f t="shared" si="3"/>
        <v>2900</v>
      </c>
      <c r="M4" s="4">
        <f t="shared" si="4"/>
        <v>2100</v>
      </c>
      <c r="N4" s="13" t="str">
        <f t="shared" si="5"/>
        <v>KEEP SELLING</v>
      </c>
      <c r="P4" s="10">
        <f>SUM(G7:G8)</f>
        <v>28002</v>
      </c>
      <c r="Q4" s="9">
        <f>SUM(L7:L8)</f>
        <v>28002</v>
      </c>
    </row>
    <row r="5" spans="1:20" ht="18" customHeight="1" x14ac:dyDescent="0.2">
      <c r="A5" s="14" t="s">
        <v>24</v>
      </c>
      <c r="B5" s="14" t="s">
        <v>21</v>
      </c>
      <c r="C5" s="14" t="s">
        <v>16</v>
      </c>
      <c r="D5" s="14" t="s">
        <v>16</v>
      </c>
      <c r="E5" s="2">
        <v>43</v>
      </c>
      <c r="F5" s="16">
        <v>1042</v>
      </c>
      <c r="G5" s="2">
        <f t="shared" si="0"/>
        <v>44806</v>
      </c>
      <c r="H5" s="3">
        <v>713</v>
      </c>
      <c r="I5" s="3"/>
      <c r="J5" s="3">
        <f t="shared" si="1"/>
        <v>713</v>
      </c>
      <c r="K5" s="3">
        <f t="shared" si="2"/>
        <v>329</v>
      </c>
      <c r="L5" s="4">
        <f t="shared" si="3"/>
        <v>30659</v>
      </c>
      <c r="M5" s="4">
        <f t="shared" si="4"/>
        <v>14147</v>
      </c>
      <c r="N5" s="13" t="str">
        <f t="shared" si="5"/>
        <v>KEEP SELLING</v>
      </c>
      <c r="P5" s="10"/>
      <c r="Q5" s="9"/>
    </row>
    <row r="6" spans="1:20" ht="18" customHeight="1" x14ac:dyDescent="0.2">
      <c r="A6" s="14" t="s">
        <v>24</v>
      </c>
      <c r="B6" s="14" t="s">
        <v>21</v>
      </c>
      <c r="C6" s="14" t="s">
        <v>17</v>
      </c>
      <c r="D6" s="14" t="s">
        <v>17</v>
      </c>
      <c r="E6" s="2">
        <v>77</v>
      </c>
      <c r="F6" s="16">
        <v>391</v>
      </c>
      <c r="G6" s="2">
        <f t="shared" si="0"/>
        <v>30107</v>
      </c>
      <c r="H6" s="3">
        <v>248</v>
      </c>
      <c r="I6" s="3"/>
      <c r="J6" s="3">
        <f t="shared" si="1"/>
        <v>248</v>
      </c>
      <c r="K6" s="3">
        <f t="shared" si="2"/>
        <v>143</v>
      </c>
      <c r="L6" s="4">
        <f t="shared" si="3"/>
        <v>19096</v>
      </c>
      <c r="M6" s="4">
        <f t="shared" si="4"/>
        <v>11011</v>
      </c>
      <c r="N6" s="13" t="str">
        <f t="shared" si="5"/>
        <v>KEEP SELLING</v>
      </c>
    </row>
    <row r="7" spans="1:20" ht="18" customHeight="1" x14ac:dyDescent="0.2">
      <c r="A7" s="14" t="s">
        <v>25</v>
      </c>
      <c r="B7" s="14" t="s">
        <v>20</v>
      </c>
      <c r="C7" s="14" t="s">
        <v>18</v>
      </c>
      <c r="D7" s="14" t="s">
        <v>18</v>
      </c>
      <c r="E7" s="2">
        <v>34</v>
      </c>
      <c r="F7" s="16">
        <v>553</v>
      </c>
      <c r="G7" s="2">
        <f t="shared" ref="G7" si="6">E7*F7</f>
        <v>18802</v>
      </c>
      <c r="H7" s="3">
        <v>553</v>
      </c>
      <c r="I7" s="3"/>
      <c r="J7" s="3">
        <f t="shared" ref="J7" si="7">H7+I7</f>
        <v>553</v>
      </c>
      <c r="K7" s="3">
        <f t="shared" ref="K7" si="8">F7-J7</f>
        <v>0</v>
      </c>
      <c r="L7" s="4">
        <f t="shared" ref="L7" si="9">J7*E7</f>
        <v>18802</v>
      </c>
      <c r="M7" s="4">
        <f t="shared" ref="M7" si="10">G7-L7</f>
        <v>0</v>
      </c>
      <c r="N7" s="13" t="str">
        <f t="shared" ref="N7" si="11">IF(M7&gt;0,"KEEP SELLING", "DO NOT SELL")</f>
        <v>DO NOT SELL</v>
      </c>
    </row>
    <row r="8" spans="1:20" ht="18" customHeight="1" x14ac:dyDescent="0.2">
      <c r="A8" s="14" t="s">
        <v>25</v>
      </c>
      <c r="B8" s="14" t="s">
        <v>20</v>
      </c>
      <c r="C8" s="14" t="s">
        <v>19</v>
      </c>
      <c r="D8" s="14" t="s">
        <v>19</v>
      </c>
      <c r="E8" s="2">
        <v>92</v>
      </c>
      <c r="F8" s="16">
        <v>100</v>
      </c>
      <c r="G8" s="2">
        <f t="shared" ref="G8" si="12">E8*F8</f>
        <v>9200</v>
      </c>
      <c r="H8" s="3">
        <v>100</v>
      </c>
      <c r="I8" s="3"/>
      <c r="J8" s="3">
        <f t="shared" ref="J8" si="13">H8+I8</f>
        <v>100</v>
      </c>
      <c r="K8" s="3">
        <f t="shared" ref="K8" si="14">F8-J8</f>
        <v>0</v>
      </c>
      <c r="L8" s="4">
        <f t="shared" ref="L8" si="15">J8*E8</f>
        <v>9200</v>
      </c>
      <c r="M8" s="4">
        <f t="shared" ref="M8" si="16">G8-L8</f>
        <v>0</v>
      </c>
      <c r="N8" s="13" t="str">
        <f t="shared" ref="N8" si="17">IF(M8&gt;0,"KEEP SELLING", "DO NOT SELL")</f>
        <v>DO NOT SELL</v>
      </c>
    </row>
    <row r="11" spans="1:20" ht="18" customHeight="1" x14ac:dyDescent="0.2">
      <c r="E11" s="8"/>
    </row>
    <row r="12" spans="1:20" ht="18" customHeight="1" x14ac:dyDescent="0.2">
      <c r="E12" s="8"/>
    </row>
  </sheetData>
  <autoFilter ref="A1:N8" xr:uid="{824B3D37-9A6F-4650-B475-D01F00096AE9}"/>
  <conditionalFormatting sqref="H2:I8 K2:N8">
    <cfRule type="cellIs" dxfId="2" priority="1" operator="lessThan">
      <formula>0</formula>
    </cfRule>
  </conditionalFormatting>
  <conditionalFormatting sqref="N1:N1048576">
    <cfRule type="containsText" dxfId="1" priority="19" operator="containsText" text="DO NOT SELL">
      <formula>NOT(ISERROR(SEARCH("DO NOT SELL",N1)))</formula>
    </cfRule>
    <cfRule type="containsText" dxfId="0" priority="20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ignore- we sent this to Samsung</vt:lpstr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2025-12-19T20:30:44Z</dcterms:modified>
  <cp:category/>
  <cp:contentStatus/>
</cp:coreProperties>
</file>