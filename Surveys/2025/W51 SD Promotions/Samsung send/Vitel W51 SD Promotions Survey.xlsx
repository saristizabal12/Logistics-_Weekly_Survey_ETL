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1 SD Promotions\Samsung send\"/>
    </mc:Choice>
  </mc:AlternateContent>
  <xr:revisionPtr revIDLastSave="0" documentId="13_ncr:1_{C104DC9E-4270-406E-B3EC-B357C979CCC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L8" i="1"/>
  <c r="L7" i="1"/>
  <c r="L6" i="1"/>
  <c r="L5" i="1"/>
  <c r="L4" i="1"/>
  <c r="L3" i="1"/>
  <c r="M2" i="1"/>
  <c r="L2" i="1"/>
</calcChain>
</file>

<file path=xl/sharedStrings.xml><?xml version="1.0" encoding="utf-8"?>
<sst xmlns="http://schemas.openxmlformats.org/spreadsheetml/2006/main" count="57" uniqueCount="32">
  <si>
    <t>Condition Document No</t>
  </si>
  <si>
    <t>Condition Text</t>
  </si>
  <si>
    <t>Group Condition Document No</t>
  </si>
  <si>
    <t>Customer Text</t>
  </si>
  <si>
    <t>Product</t>
  </si>
  <si>
    <t>Product Text</t>
  </si>
  <si>
    <t>Accrual Price</t>
  </si>
  <si>
    <t>Start Date of Condition</t>
  </si>
  <si>
    <t>End Date of Condition</t>
  </si>
  <si>
    <t>G-Z-FLIP7</t>
  </si>
  <si>
    <t>G-Z-FOLD7</t>
  </si>
  <si>
    <t>G-Z-FLIP7-FE</t>
  </si>
  <si>
    <t>VITEL MOBILE, INC.</t>
  </si>
  <si>
    <t>G-WATCH8</t>
  </si>
  <si>
    <t>G-WATCH8-CLASSIC</t>
  </si>
  <si>
    <t>G-BUDS-CORE</t>
  </si>
  <si>
    <t>G-BUDS3-FE</t>
  </si>
  <si>
    <t>A2S3A0A250000450</t>
  </si>
  <si>
    <t>A0S3A0A250001195</t>
  </si>
  <si>
    <t>VITEL W49-W51 Foldables Series Sustain ST Promo</t>
  </si>
  <si>
    <t>A2S3A0A250000451</t>
  </si>
  <si>
    <t>A0S3A0A250001202</t>
  </si>
  <si>
    <t>VITEL W49-W51 Watch8 Sustain ST Promo</t>
  </si>
  <si>
    <t>A0S3A0A250001211</t>
  </si>
  <si>
    <t>W49-W51 Buds Series ST Promo</t>
  </si>
  <si>
    <t>A2S3A0A250000453</t>
  </si>
  <si>
    <t>AS-IS Quantity</t>
  </si>
  <si>
    <t>TO-BE Quantity</t>
  </si>
  <si>
    <t>DELTA Quantity</t>
  </si>
  <si>
    <t>DELTA Amt($)</t>
  </si>
  <si>
    <t>TO-BE Amt($)</t>
  </si>
  <si>
    <t>AS-IS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</si>
</sst>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3" borderId="1" xfId="0" applyNumberFormat="1" applyFill="1" applyBorder="1"/>
    <xf numFmtId="6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showGridLines="0" tabSelected="1" workbookViewId="0">
      <pane ySplit="1" topLeftCell="A2" activePane="bottomLeft" state="frozen"/>
      <selection pane="bottomLeft" activeCell="J2" sqref="J2:J8"/>
    </sheetView>
  </sheetViews>
  <sheetFormatPr defaultRowHeight="12.75" x14ac:dyDescent="0.2"/>
  <cols>
    <col min="1" max="1" width="22.42578125" bestFit="1" customWidth="1"/>
    <col min="2" max="2" width="45.42578125" bestFit="1" customWidth="1"/>
    <col min="3" max="3" width="28" bestFit="1" customWidth="1"/>
    <col min="4" max="4" width="32.7109375" bestFit="1" customWidth="1"/>
    <col min="5" max="6" width="16.140625" bestFit="1" customWidth="1"/>
    <col min="7" max="7" width="13.1406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31</v>
      </c>
      <c r="J1" s="1" t="s">
        <v>27</v>
      </c>
      <c r="K1" s="1" t="s">
        <v>30</v>
      </c>
      <c r="L1" s="1" t="s">
        <v>28</v>
      </c>
      <c r="M1" s="1" t="s">
        <v>29</v>
      </c>
      <c r="N1" s="1" t="s">
        <v>7</v>
      </c>
      <c r="O1" s="1" t="s">
        <v>8</v>
      </c>
    </row>
    <row r="2" spans="1:15" x14ac:dyDescent="0.2">
      <c r="A2" s="2" t="s">
        <v>18</v>
      </c>
      <c r="B2" s="2" t="s">
        <v>19</v>
      </c>
      <c r="C2" s="2" t="s">
        <v>17</v>
      </c>
      <c r="D2" s="2" t="s">
        <v>12</v>
      </c>
      <c r="E2" s="2" t="s">
        <v>9</v>
      </c>
      <c r="F2" s="2" t="s">
        <v>9</v>
      </c>
      <c r="G2" s="5">
        <v>80</v>
      </c>
      <c r="H2" s="4">
        <v>18</v>
      </c>
      <c r="I2" s="5">
        <v>1440</v>
      </c>
      <c r="J2" s="4">
        <v>3</v>
      </c>
      <c r="K2" s="5">
        <f t="shared" ref="K2:K8" si="0">J2*$G2</f>
        <v>240</v>
      </c>
      <c r="L2" s="4">
        <f t="shared" ref="L2:L8" si="1">J2-H2</f>
        <v>-15</v>
      </c>
      <c r="M2" s="5">
        <f t="shared" ref="M2:M8" si="2">K2-I2</f>
        <v>-1200</v>
      </c>
      <c r="N2" s="3">
        <v>45992</v>
      </c>
      <c r="O2" s="3">
        <v>46012</v>
      </c>
    </row>
    <row r="3" spans="1:15" x14ac:dyDescent="0.2">
      <c r="A3" s="2" t="s">
        <v>18</v>
      </c>
      <c r="B3" s="2" t="s">
        <v>19</v>
      </c>
      <c r="C3" s="2" t="s">
        <v>17</v>
      </c>
      <c r="D3" s="2" t="s">
        <v>12</v>
      </c>
      <c r="E3" s="2" t="s">
        <v>11</v>
      </c>
      <c r="F3" s="2" t="s">
        <v>11</v>
      </c>
      <c r="G3" s="5">
        <v>120</v>
      </c>
      <c r="H3" s="4">
        <v>328</v>
      </c>
      <c r="I3" s="5">
        <v>39360</v>
      </c>
      <c r="J3" s="4">
        <v>123</v>
      </c>
      <c r="K3" s="5">
        <f t="shared" si="0"/>
        <v>14760</v>
      </c>
      <c r="L3" s="4">
        <f t="shared" si="1"/>
        <v>-205</v>
      </c>
      <c r="M3" s="5">
        <f t="shared" si="2"/>
        <v>-24600</v>
      </c>
      <c r="N3" s="3">
        <v>45992</v>
      </c>
      <c r="O3" s="3">
        <v>46012</v>
      </c>
    </row>
    <row r="4" spans="1:15" x14ac:dyDescent="0.2">
      <c r="A4" s="2" t="s">
        <v>18</v>
      </c>
      <c r="B4" s="2" t="s">
        <v>19</v>
      </c>
      <c r="C4" s="2" t="s">
        <v>17</v>
      </c>
      <c r="D4" s="2" t="s">
        <v>12</v>
      </c>
      <c r="E4" s="2" t="s">
        <v>10</v>
      </c>
      <c r="F4" s="2" t="s">
        <v>10</v>
      </c>
      <c r="G4" s="5">
        <v>100</v>
      </c>
      <c r="H4" s="4">
        <v>51</v>
      </c>
      <c r="I4" s="5">
        <v>5100</v>
      </c>
      <c r="J4" s="4">
        <v>50</v>
      </c>
      <c r="K4" s="5">
        <f t="shared" si="0"/>
        <v>5000</v>
      </c>
      <c r="L4" s="4">
        <f t="shared" si="1"/>
        <v>-1</v>
      </c>
      <c r="M4" s="5">
        <f t="shared" si="2"/>
        <v>-100</v>
      </c>
      <c r="N4" s="3">
        <v>45992</v>
      </c>
      <c r="O4" s="3">
        <v>46012</v>
      </c>
    </row>
    <row r="5" spans="1:15" x14ac:dyDescent="0.2">
      <c r="A5" s="2" t="s">
        <v>21</v>
      </c>
      <c r="B5" s="2" t="s">
        <v>22</v>
      </c>
      <c r="C5" s="2" t="s">
        <v>20</v>
      </c>
      <c r="D5" s="2" t="s">
        <v>12</v>
      </c>
      <c r="E5" s="2" t="s">
        <v>13</v>
      </c>
      <c r="F5" s="2" t="s">
        <v>13</v>
      </c>
      <c r="G5" s="5">
        <v>43</v>
      </c>
      <c r="H5" s="4">
        <v>2182</v>
      </c>
      <c r="I5" s="5">
        <v>93826</v>
      </c>
      <c r="J5" s="4">
        <v>1042</v>
      </c>
      <c r="K5" s="5">
        <f t="shared" si="0"/>
        <v>44806</v>
      </c>
      <c r="L5" s="4">
        <f t="shared" si="1"/>
        <v>-1140</v>
      </c>
      <c r="M5" s="5">
        <f t="shared" si="2"/>
        <v>-49020</v>
      </c>
      <c r="N5" s="3">
        <v>45992</v>
      </c>
      <c r="O5" s="3">
        <v>46012</v>
      </c>
    </row>
    <row r="6" spans="1:15" x14ac:dyDescent="0.2">
      <c r="A6" s="2" t="s">
        <v>21</v>
      </c>
      <c r="B6" s="2" t="s">
        <v>22</v>
      </c>
      <c r="C6" s="2" t="s">
        <v>20</v>
      </c>
      <c r="D6" s="2" t="s">
        <v>12</v>
      </c>
      <c r="E6" s="2" t="s">
        <v>14</v>
      </c>
      <c r="F6" s="2" t="s">
        <v>14</v>
      </c>
      <c r="G6" s="5">
        <v>77</v>
      </c>
      <c r="H6" s="4">
        <v>496</v>
      </c>
      <c r="I6" s="5">
        <v>38192</v>
      </c>
      <c r="J6" s="4">
        <v>391</v>
      </c>
      <c r="K6" s="5">
        <f t="shared" si="0"/>
        <v>30107</v>
      </c>
      <c r="L6" s="4">
        <f t="shared" si="1"/>
        <v>-105</v>
      </c>
      <c r="M6" s="5">
        <f t="shared" si="2"/>
        <v>-8085</v>
      </c>
      <c r="N6" s="3">
        <v>45992</v>
      </c>
      <c r="O6" s="3">
        <v>46012</v>
      </c>
    </row>
    <row r="7" spans="1:15" x14ac:dyDescent="0.2">
      <c r="A7" s="2" t="s">
        <v>23</v>
      </c>
      <c r="B7" s="2" t="s">
        <v>24</v>
      </c>
      <c r="C7" s="2" t="s">
        <v>25</v>
      </c>
      <c r="D7" s="2" t="s">
        <v>12</v>
      </c>
      <c r="E7" s="2" t="s">
        <v>15</v>
      </c>
      <c r="F7" s="2" t="s">
        <v>15</v>
      </c>
      <c r="G7" s="5">
        <v>34</v>
      </c>
      <c r="H7" s="4">
        <v>554</v>
      </c>
      <c r="I7" s="5">
        <v>18836</v>
      </c>
      <c r="J7" s="4">
        <v>553</v>
      </c>
      <c r="K7" s="5">
        <f t="shared" si="0"/>
        <v>18802</v>
      </c>
      <c r="L7" s="4">
        <f t="shared" si="1"/>
        <v>-1</v>
      </c>
      <c r="M7" s="5">
        <f t="shared" si="2"/>
        <v>-34</v>
      </c>
      <c r="N7" s="3">
        <v>45992</v>
      </c>
      <c r="O7" s="3">
        <v>46012</v>
      </c>
    </row>
    <row r="8" spans="1:15" x14ac:dyDescent="0.2">
      <c r="A8" s="2" t="s">
        <v>23</v>
      </c>
      <c r="B8" s="2" t="s">
        <v>24</v>
      </c>
      <c r="C8" s="2" t="s">
        <v>25</v>
      </c>
      <c r="D8" s="2" t="s">
        <v>12</v>
      </c>
      <c r="E8" s="2" t="s">
        <v>16</v>
      </c>
      <c r="F8" s="2" t="s">
        <v>16</v>
      </c>
      <c r="G8" s="5">
        <v>92</v>
      </c>
      <c r="H8" s="4">
        <v>100</v>
      </c>
      <c r="I8" s="5">
        <v>9200</v>
      </c>
      <c r="J8" s="4">
        <v>100</v>
      </c>
      <c r="K8" s="5">
        <f t="shared" si="0"/>
        <v>9200</v>
      </c>
      <c r="L8" s="4">
        <f t="shared" si="1"/>
        <v>0</v>
      </c>
      <c r="M8" s="5">
        <f t="shared" si="2"/>
        <v>0</v>
      </c>
      <c r="N8" s="3">
        <v>45992</v>
      </c>
      <c r="O8" s="3">
        <v>46012</v>
      </c>
    </row>
  </sheetData>
  <autoFilter ref="A1:O8" xr:uid="{00000000-0001-0000-0000-000000000000}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cp:lastPrinted>2025-12-15T16:10:20Z</cp:lastPrinted>
  <dcterms:created xsi:type="dcterms:W3CDTF">2025-12-15T16:10:42Z</dcterms:created>
  <dcterms:modified xsi:type="dcterms:W3CDTF">2025-12-17T15:06:53Z</dcterms:modified>
  <cp:category/>
</cp:coreProperties>
</file>