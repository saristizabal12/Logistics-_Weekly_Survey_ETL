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51 SD Promotions\Samsung Special market survey\"/>
    </mc:Choice>
  </mc:AlternateContent>
  <xr:revisionPtr revIDLastSave="0" documentId="13_ncr:1_{2A61F9DD-DFAB-40CD-A403-96B6442726D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" l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<sst xmlns="http://schemas.openxmlformats.org/spreadsheetml/2006/main" count="99" uniqueCount="35">
  <si>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</si>
  <si>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</si>
  <si>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</si>
  <si>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</si>
  <si>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</si>
  <si>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</si>
  <si>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</si>
  <si>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</si>
  <si>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G-A26-5G</t>
  </si>
  <si>
    <t>G-S25</t>
  </si>
  <si>
    <t>G-S25+</t>
  </si>
  <si>
    <t>G-S25-ULTRA</t>
  </si>
  <si>
    <t>VITEL MOBILE, INC.</t>
  </si>
  <si>
    <t>G-A06</t>
  </si>
  <si>
    <t>G-A07</t>
  </si>
  <si>
    <t>G-A16</t>
  </si>
  <si>
    <t>G-A17</t>
  </si>
  <si>
    <t>G-A36-5G</t>
  </si>
  <si>
    <t>G-A56-5G</t>
  </si>
  <si>
    <t>A0S3A0A250001231</t>
  </si>
  <si>
    <t>A2S3A0A250000465</t>
  </si>
  <si>
    <t>A0S3A0A250001234</t>
  </si>
  <si>
    <t>A2S3A0A250000466</t>
  </si>
  <si>
    <t>A0S3A0A250001245</t>
  </si>
  <si>
    <t>A2S3A0A250000467</t>
  </si>
  <si>
    <t>VITEL W51 VE Peak Season S Series Sell-Thru Promotion</t>
  </si>
  <si>
    <t>VITEL W51 VE Peak Season A Series Sell-Thru Promotion</t>
  </si>
  <si>
    <t>VITEL W51 A Series Peak Season ST Promo</t>
  </si>
  <si>
    <t>Incentive</t>
  </si>
  <si>
    <t>AS-IS Quantity</t>
  </si>
  <si>
    <t>TO-BE Quantity</t>
  </si>
  <si>
    <t>DELTA Quantity</t>
  </si>
  <si>
    <t>AS-IS Amt($)</t>
  </si>
  <si>
    <t>TO-BE Amt($)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</si>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</sst>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3" fontId="0" fillId="3" borderId="1" xfId="0" applyNumberFormat="1" applyFill="1" applyBorder="1"/>
    <xf numFmtId="6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6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>
      <pane ySplit="1" topLeftCell="A2" activePane="bottomLeft" state="frozen"/>
      <selection pane="bottomLeft" activeCell="G12" sqref="G12"/>
    </sheetView>
  </sheetViews>
  <sheetFormatPr defaultRowHeight="12.75" x14ac:dyDescent="0.2"/>
  <cols>
    <col min="1" max="1" width="22.42578125" bestFit="1" customWidth="1"/>
    <col min="2" max="2" width="47.140625" bestFit="1" customWidth="1"/>
    <col min="3" max="3" width="28" bestFit="1" customWidth="1"/>
    <col min="4" max="4" width="19.28515625" bestFit="1" customWidth="1"/>
    <col min="5" max="5" width="10.85546875" bestFit="1" customWidth="1"/>
    <col min="6" max="6" width="13.28515625" bestFit="1" customWidth="1"/>
    <col min="7" max="7" width="13.140625" bestFit="1" customWidth="1"/>
    <col min="8" max="8" width="16.28515625" bestFit="1" customWidth="1"/>
    <col min="9" max="9" width="14.7109375" bestFit="1" customWidth="1"/>
    <col min="10" max="10" width="16.28515625" bestFit="1" customWidth="1"/>
    <col min="11" max="11" width="14.7109375" bestFit="1" customWidth="1"/>
    <col min="12" max="12" width="16.28515625" bestFit="1" customWidth="1"/>
    <col min="13" max="13" width="14.710937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29</v>
      </c>
      <c r="I1" s="1" t="s">
        <v>32</v>
      </c>
      <c r="J1" s="1" t="s">
        <v>30</v>
      </c>
      <c r="K1" s="1" t="s">
        <v>33</v>
      </c>
      <c r="L1" s="1" t="s">
        <v>31</v>
      </c>
      <c r="M1" s="1" t="s">
        <v>34</v>
      </c>
      <c r="N1" s="1" t="s">
        <v>6</v>
      </c>
      <c r="O1" s="1" t="s">
        <v>7</v>
      </c>
    </row>
    <row r="2" spans="1:15" x14ac:dyDescent="0.2">
      <c r="A2" s="2" t="s">
        <v>19</v>
      </c>
      <c r="B2" s="2" t="s">
        <v>25</v>
      </c>
      <c r="C2" s="2" t="s">
        <v>20</v>
      </c>
      <c r="D2" s="2" t="s">
        <v>12</v>
      </c>
      <c r="E2" s="2" t="s">
        <v>9</v>
      </c>
      <c r="F2" s="2" t="s">
        <v>9</v>
      </c>
      <c r="G2" s="6">
        <v>30</v>
      </c>
      <c r="H2" s="7">
        <v>122</v>
      </c>
      <c r="I2" s="8">
        <v>3660</v>
      </c>
      <c r="J2" s="4">
        <v>0</v>
      </c>
      <c r="K2" s="5">
        <f>J2*G2</f>
        <v>0</v>
      </c>
      <c r="L2" s="7">
        <f>J2-H2</f>
        <v>-122</v>
      </c>
      <c r="M2" s="8">
        <f t="shared" ref="M2:M15" si="0">K2-I2</f>
        <v>-3660</v>
      </c>
      <c r="N2" s="3">
        <v>46006</v>
      </c>
      <c r="O2" s="3">
        <v>46019</v>
      </c>
    </row>
    <row r="3" spans="1:15" x14ac:dyDescent="0.2">
      <c r="A3" s="2" t="s">
        <v>19</v>
      </c>
      <c r="B3" s="2" t="s">
        <v>25</v>
      </c>
      <c r="C3" s="2" t="s">
        <v>20</v>
      </c>
      <c r="D3" s="2" t="s">
        <v>12</v>
      </c>
      <c r="E3" s="2" t="s">
        <v>10</v>
      </c>
      <c r="F3" s="2" t="s">
        <v>10</v>
      </c>
      <c r="G3" s="6">
        <v>30</v>
      </c>
      <c r="H3" s="7">
        <v>72</v>
      </c>
      <c r="I3" s="8">
        <v>2160</v>
      </c>
      <c r="J3" s="4">
        <v>0</v>
      </c>
      <c r="K3" s="5">
        <f t="shared" ref="K3:K15" si="1">J3*G3</f>
        <v>0</v>
      </c>
      <c r="L3" s="7">
        <f t="shared" ref="L3:L15" si="2">J3-H3</f>
        <v>-72</v>
      </c>
      <c r="M3" s="8">
        <f t="shared" si="0"/>
        <v>-2160</v>
      </c>
      <c r="N3" s="3">
        <v>46006</v>
      </c>
      <c r="O3" s="3">
        <v>46019</v>
      </c>
    </row>
    <row r="4" spans="1:15" x14ac:dyDescent="0.2">
      <c r="A4" s="2" t="s">
        <v>19</v>
      </c>
      <c r="B4" s="2" t="s">
        <v>25</v>
      </c>
      <c r="C4" s="2" t="s">
        <v>20</v>
      </c>
      <c r="D4" s="2" t="s">
        <v>12</v>
      </c>
      <c r="E4" s="2" t="s">
        <v>11</v>
      </c>
      <c r="F4" s="2" t="s">
        <v>11</v>
      </c>
      <c r="G4" s="6">
        <v>80</v>
      </c>
      <c r="H4" s="7">
        <v>575</v>
      </c>
      <c r="I4" s="8">
        <v>46000</v>
      </c>
      <c r="J4" s="4">
        <v>42</v>
      </c>
      <c r="K4" s="5">
        <f t="shared" si="1"/>
        <v>3360</v>
      </c>
      <c r="L4" s="7">
        <f t="shared" si="2"/>
        <v>-533</v>
      </c>
      <c r="M4" s="8">
        <f t="shared" si="0"/>
        <v>-42640</v>
      </c>
      <c r="N4" s="3">
        <v>46006</v>
      </c>
      <c r="O4" s="3">
        <v>46019</v>
      </c>
    </row>
    <row r="5" spans="1:15" x14ac:dyDescent="0.2">
      <c r="A5" s="2" t="s">
        <v>21</v>
      </c>
      <c r="B5" s="2" t="s">
        <v>26</v>
      </c>
      <c r="C5" s="2" t="s">
        <v>22</v>
      </c>
      <c r="D5" s="2" t="s">
        <v>12</v>
      </c>
      <c r="E5" s="2" t="s">
        <v>13</v>
      </c>
      <c r="F5" s="2" t="s">
        <v>13</v>
      </c>
      <c r="G5" s="6">
        <v>10</v>
      </c>
      <c r="H5" s="7">
        <v>5195</v>
      </c>
      <c r="I5" s="8">
        <v>51950</v>
      </c>
      <c r="J5" s="4">
        <v>0</v>
      </c>
      <c r="K5" s="5">
        <f t="shared" si="1"/>
        <v>0</v>
      </c>
      <c r="L5" s="7">
        <f t="shared" si="2"/>
        <v>-5195</v>
      </c>
      <c r="M5" s="8">
        <f t="shared" si="0"/>
        <v>-51950</v>
      </c>
      <c r="N5" s="3">
        <v>46006</v>
      </c>
      <c r="O5" s="3">
        <v>46019</v>
      </c>
    </row>
    <row r="6" spans="1:15" x14ac:dyDescent="0.2">
      <c r="A6" s="2" t="s">
        <v>21</v>
      </c>
      <c r="B6" s="2" t="s">
        <v>26</v>
      </c>
      <c r="C6" s="2" t="s">
        <v>22</v>
      </c>
      <c r="D6" s="2" t="s">
        <v>12</v>
      </c>
      <c r="E6" s="2" t="s">
        <v>14</v>
      </c>
      <c r="F6" s="2" t="s">
        <v>14</v>
      </c>
      <c r="G6" s="6">
        <v>10</v>
      </c>
      <c r="H6" s="7">
        <v>1670</v>
      </c>
      <c r="I6" s="8">
        <v>16700</v>
      </c>
      <c r="J6" s="4">
        <v>0</v>
      </c>
      <c r="K6" s="5">
        <f t="shared" si="1"/>
        <v>0</v>
      </c>
      <c r="L6" s="7">
        <f t="shared" si="2"/>
        <v>-1670</v>
      </c>
      <c r="M6" s="8">
        <f t="shared" si="0"/>
        <v>-16700</v>
      </c>
      <c r="N6" s="3">
        <v>46006</v>
      </c>
      <c r="O6" s="3">
        <v>46019</v>
      </c>
    </row>
    <row r="7" spans="1:15" x14ac:dyDescent="0.2">
      <c r="A7" s="2" t="s">
        <v>21</v>
      </c>
      <c r="B7" s="2" t="s">
        <v>26</v>
      </c>
      <c r="C7" s="2" t="s">
        <v>22</v>
      </c>
      <c r="D7" s="2" t="s">
        <v>12</v>
      </c>
      <c r="E7" s="2" t="s">
        <v>15</v>
      </c>
      <c r="F7" s="2" t="s">
        <v>15</v>
      </c>
      <c r="G7" s="6">
        <v>10</v>
      </c>
      <c r="H7" s="7">
        <v>6987</v>
      </c>
      <c r="I7" s="8">
        <v>69870</v>
      </c>
      <c r="J7" s="4">
        <v>3300</v>
      </c>
      <c r="K7" s="5">
        <f t="shared" si="1"/>
        <v>33000</v>
      </c>
      <c r="L7" s="7">
        <f t="shared" si="2"/>
        <v>-3687</v>
      </c>
      <c r="M7" s="8">
        <f t="shared" si="0"/>
        <v>-36870</v>
      </c>
      <c r="N7" s="3">
        <v>46006</v>
      </c>
      <c r="O7" s="3">
        <v>46019</v>
      </c>
    </row>
    <row r="8" spans="1:15" x14ac:dyDescent="0.2">
      <c r="A8" s="2" t="s">
        <v>21</v>
      </c>
      <c r="B8" s="2" t="s">
        <v>26</v>
      </c>
      <c r="C8" s="2" t="s">
        <v>22</v>
      </c>
      <c r="D8" s="2" t="s">
        <v>12</v>
      </c>
      <c r="E8" s="2" t="s">
        <v>16</v>
      </c>
      <c r="F8" s="2" t="s">
        <v>16</v>
      </c>
      <c r="G8" s="6">
        <v>10</v>
      </c>
      <c r="H8" s="7">
        <v>1280</v>
      </c>
      <c r="I8" s="8">
        <v>12800</v>
      </c>
      <c r="J8" s="4">
        <v>80</v>
      </c>
      <c r="K8" s="5">
        <f t="shared" si="1"/>
        <v>800</v>
      </c>
      <c r="L8" s="7">
        <f t="shared" si="2"/>
        <v>-1200</v>
      </c>
      <c r="M8" s="8">
        <f t="shared" si="0"/>
        <v>-12000</v>
      </c>
      <c r="N8" s="3">
        <v>46006</v>
      </c>
      <c r="O8" s="3">
        <v>46019</v>
      </c>
    </row>
    <row r="9" spans="1:15" x14ac:dyDescent="0.2">
      <c r="A9" s="2" t="s">
        <v>21</v>
      </c>
      <c r="B9" s="2" t="s">
        <v>26</v>
      </c>
      <c r="C9" s="2" t="s">
        <v>22</v>
      </c>
      <c r="D9" s="2" t="s">
        <v>12</v>
      </c>
      <c r="E9" s="2" t="s">
        <v>8</v>
      </c>
      <c r="F9" s="2" t="s">
        <v>8</v>
      </c>
      <c r="G9" s="6">
        <v>10</v>
      </c>
      <c r="H9" s="7">
        <v>1142</v>
      </c>
      <c r="I9" s="8">
        <v>11420</v>
      </c>
      <c r="J9" s="4">
        <v>0</v>
      </c>
      <c r="K9" s="5">
        <f t="shared" si="1"/>
        <v>0</v>
      </c>
      <c r="L9" s="7">
        <f t="shared" si="2"/>
        <v>-1142</v>
      </c>
      <c r="M9" s="8">
        <f t="shared" si="0"/>
        <v>-11420</v>
      </c>
      <c r="N9" s="3">
        <v>46006</v>
      </c>
      <c r="O9" s="3">
        <v>46019</v>
      </c>
    </row>
    <row r="10" spans="1:15" x14ac:dyDescent="0.2">
      <c r="A10" s="2" t="s">
        <v>21</v>
      </c>
      <c r="B10" s="2" t="s">
        <v>26</v>
      </c>
      <c r="C10" s="2" t="s">
        <v>22</v>
      </c>
      <c r="D10" s="2" t="s">
        <v>12</v>
      </c>
      <c r="E10" s="2" t="s">
        <v>17</v>
      </c>
      <c r="F10" s="2" t="s">
        <v>17</v>
      </c>
      <c r="G10" s="6">
        <v>10</v>
      </c>
      <c r="H10" s="7">
        <v>901</v>
      </c>
      <c r="I10" s="8">
        <v>9010</v>
      </c>
      <c r="J10" s="4">
        <v>40</v>
      </c>
      <c r="K10" s="5">
        <f t="shared" si="1"/>
        <v>400</v>
      </c>
      <c r="L10" s="7">
        <f t="shared" si="2"/>
        <v>-861</v>
      </c>
      <c r="M10" s="8">
        <f t="shared" si="0"/>
        <v>-8610</v>
      </c>
      <c r="N10" s="3">
        <v>46006</v>
      </c>
      <c r="O10" s="3">
        <v>46019</v>
      </c>
    </row>
    <row r="11" spans="1:15" x14ac:dyDescent="0.2">
      <c r="A11" s="2" t="s">
        <v>21</v>
      </c>
      <c r="B11" s="2" t="s">
        <v>26</v>
      </c>
      <c r="C11" s="2" t="s">
        <v>22</v>
      </c>
      <c r="D11" s="2" t="s">
        <v>12</v>
      </c>
      <c r="E11" s="2" t="s">
        <v>18</v>
      </c>
      <c r="F11" s="2" t="s">
        <v>18</v>
      </c>
      <c r="G11" s="6">
        <v>10</v>
      </c>
      <c r="H11" s="7">
        <v>1473</v>
      </c>
      <c r="I11" s="8">
        <v>14730</v>
      </c>
      <c r="J11" s="4">
        <v>60</v>
      </c>
      <c r="K11" s="5">
        <f t="shared" si="1"/>
        <v>600</v>
      </c>
      <c r="L11" s="7">
        <f t="shared" si="2"/>
        <v>-1413</v>
      </c>
      <c r="M11" s="8">
        <f t="shared" si="0"/>
        <v>-14130</v>
      </c>
      <c r="N11" s="3">
        <v>46006</v>
      </c>
      <c r="O11" s="3">
        <v>46019</v>
      </c>
    </row>
    <row r="12" spans="1:15" x14ac:dyDescent="0.2">
      <c r="A12" s="2" t="s">
        <v>23</v>
      </c>
      <c r="B12" s="2" t="s">
        <v>27</v>
      </c>
      <c r="C12" s="2" t="s">
        <v>24</v>
      </c>
      <c r="D12" s="2" t="s">
        <v>12</v>
      </c>
      <c r="E12" s="2" t="s">
        <v>15</v>
      </c>
      <c r="F12" s="2" t="s">
        <v>15</v>
      </c>
      <c r="G12" s="6">
        <v>4</v>
      </c>
      <c r="H12" s="7">
        <v>7000</v>
      </c>
      <c r="I12" s="8">
        <v>28000</v>
      </c>
      <c r="J12" s="4">
        <v>7540</v>
      </c>
      <c r="K12" s="5">
        <f t="shared" si="1"/>
        <v>30160</v>
      </c>
      <c r="L12" s="7">
        <f t="shared" si="2"/>
        <v>540</v>
      </c>
      <c r="M12" s="8">
        <f t="shared" si="0"/>
        <v>2160</v>
      </c>
      <c r="N12" s="3">
        <v>46006</v>
      </c>
      <c r="O12" s="3">
        <v>46019</v>
      </c>
    </row>
    <row r="13" spans="1:15" x14ac:dyDescent="0.2">
      <c r="A13" s="2" t="s">
        <v>23</v>
      </c>
      <c r="B13" s="2" t="s">
        <v>27</v>
      </c>
      <c r="C13" s="2" t="s">
        <v>24</v>
      </c>
      <c r="D13" s="2" t="s">
        <v>12</v>
      </c>
      <c r="E13" s="2" t="s">
        <v>8</v>
      </c>
      <c r="F13" s="2" t="s">
        <v>8</v>
      </c>
      <c r="G13" s="6">
        <v>4</v>
      </c>
      <c r="H13" s="7">
        <v>1600</v>
      </c>
      <c r="I13" s="8">
        <v>6400</v>
      </c>
      <c r="J13" s="4">
        <v>170</v>
      </c>
      <c r="K13" s="5">
        <f t="shared" si="1"/>
        <v>680</v>
      </c>
      <c r="L13" s="7">
        <f t="shared" si="2"/>
        <v>-1430</v>
      </c>
      <c r="M13" s="8">
        <f t="shared" si="0"/>
        <v>-5720</v>
      </c>
      <c r="N13" s="3">
        <v>46006</v>
      </c>
      <c r="O13" s="3">
        <v>46019</v>
      </c>
    </row>
    <row r="14" spans="1:15" x14ac:dyDescent="0.2">
      <c r="A14" s="2" t="s">
        <v>23</v>
      </c>
      <c r="B14" s="2" t="s">
        <v>27</v>
      </c>
      <c r="C14" s="2" t="s">
        <v>24</v>
      </c>
      <c r="D14" s="2" t="s">
        <v>12</v>
      </c>
      <c r="E14" s="2" t="s">
        <v>17</v>
      </c>
      <c r="F14" s="2" t="s">
        <v>17</v>
      </c>
      <c r="G14" s="6">
        <v>4</v>
      </c>
      <c r="H14" s="7">
        <v>1100</v>
      </c>
      <c r="I14" s="8">
        <v>4400</v>
      </c>
      <c r="J14" s="4">
        <v>355</v>
      </c>
      <c r="K14" s="5">
        <f t="shared" si="1"/>
        <v>1420</v>
      </c>
      <c r="L14" s="7">
        <f t="shared" si="2"/>
        <v>-745</v>
      </c>
      <c r="M14" s="8">
        <f t="shared" si="0"/>
        <v>-2980</v>
      </c>
      <c r="N14" s="3">
        <v>46006</v>
      </c>
      <c r="O14" s="3">
        <v>46019</v>
      </c>
    </row>
    <row r="15" spans="1:15" x14ac:dyDescent="0.2">
      <c r="A15" s="2" t="s">
        <v>23</v>
      </c>
      <c r="B15" s="2" t="s">
        <v>27</v>
      </c>
      <c r="C15" s="2" t="s">
        <v>24</v>
      </c>
      <c r="D15" s="2" t="s">
        <v>12</v>
      </c>
      <c r="E15" s="2" t="s">
        <v>18</v>
      </c>
      <c r="F15" s="2" t="s">
        <v>18</v>
      </c>
      <c r="G15" s="6">
        <v>4</v>
      </c>
      <c r="H15" s="7">
        <v>1100</v>
      </c>
      <c r="I15" s="8">
        <v>4400</v>
      </c>
      <c r="J15" s="4">
        <v>491</v>
      </c>
      <c r="K15" s="5">
        <f t="shared" si="1"/>
        <v>1964</v>
      </c>
      <c r="L15" s="7">
        <f t="shared" si="2"/>
        <v>-609</v>
      </c>
      <c r="M15" s="8">
        <f t="shared" si="0"/>
        <v>-2436</v>
      </c>
      <c r="N15" s="3">
        <v>46006</v>
      </c>
      <c r="O15" s="3">
        <v>46019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2025-12-17T15:50:17Z</dcterms:created>
  <dcterms:modified xsi:type="dcterms:W3CDTF">2025-12-17T18:00:25Z</dcterms:modified>
  <cp:category/>
</cp:coreProperties>
</file>