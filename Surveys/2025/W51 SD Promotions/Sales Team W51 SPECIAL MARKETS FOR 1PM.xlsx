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51 SD Promotions\"/>
    </mc:Choice>
  </mc:AlternateContent>
  <xr:revisionPtr revIDLastSave="0" documentId="13_ncr:1_{5C312008-5F76-4B09-A4E2-37416963BAE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now" sheetId="13" r:id="rId1"/>
  </sheets>
  <definedNames>
    <definedName name="_xlnm._FilterDatabase" localSheetId="0" hidden="1">'As of now'!$A$1:$N$15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3" l="1"/>
  <c r="L15" i="13" s="1"/>
  <c r="G15" i="13"/>
  <c r="J14" i="13"/>
  <c r="K14" i="13" s="1"/>
  <c r="G14" i="13"/>
  <c r="J13" i="13"/>
  <c r="L13" i="13" s="1"/>
  <c r="G13" i="13"/>
  <c r="J12" i="13"/>
  <c r="L12" i="13" s="1"/>
  <c r="G12" i="13"/>
  <c r="J11" i="13"/>
  <c r="K11" i="13" s="1"/>
  <c r="G11" i="13"/>
  <c r="J10" i="13"/>
  <c r="L10" i="13" s="1"/>
  <c r="G10" i="13"/>
  <c r="J9" i="13"/>
  <c r="K9" i="13" s="1"/>
  <c r="G9" i="13"/>
  <c r="J8" i="13"/>
  <c r="K8" i="13" s="1"/>
  <c r="G8" i="13"/>
  <c r="J7" i="13"/>
  <c r="L7" i="13" s="1"/>
  <c r="G7" i="13"/>
  <c r="J4" i="13"/>
  <c r="K4" i="13" s="1"/>
  <c r="G4" i="13"/>
  <c r="J6" i="13"/>
  <c r="L6" i="13" s="1"/>
  <c r="G6" i="13"/>
  <c r="J5" i="13"/>
  <c r="L5" i="13" s="1"/>
  <c r="G5" i="13"/>
  <c r="G3" i="13"/>
  <c r="J3" i="13"/>
  <c r="K3" i="13" s="1"/>
  <c r="G2" i="13"/>
  <c r="J2" i="13"/>
  <c r="K2" i="13" s="1"/>
  <c r="M12" i="13" l="1"/>
  <c r="N12" i="13" s="1"/>
  <c r="P3" i="13"/>
  <c r="P4" i="13"/>
  <c r="M13" i="13"/>
  <c r="N13" i="13" s="1"/>
  <c r="M10" i="13"/>
  <c r="N10" i="13" s="1"/>
  <c r="P2" i="13"/>
  <c r="M15" i="13"/>
  <c r="N15" i="13" s="1"/>
  <c r="L14" i="13"/>
  <c r="K13" i="13"/>
  <c r="K15" i="13"/>
  <c r="K12" i="13"/>
  <c r="L9" i="13"/>
  <c r="M9" i="13" s="1"/>
  <c r="N9" i="13" s="1"/>
  <c r="L11" i="13"/>
  <c r="M11" i="13" s="1"/>
  <c r="N11" i="13" s="1"/>
  <c r="K10" i="13"/>
  <c r="L8" i="13"/>
  <c r="M8" i="13" s="1"/>
  <c r="N8" i="13" s="1"/>
  <c r="M7" i="13"/>
  <c r="N7" i="13" s="1"/>
  <c r="K7" i="13"/>
  <c r="L4" i="13"/>
  <c r="M4" i="13" s="1"/>
  <c r="N4" i="13" s="1"/>
  <c r="M6" i="13"/>
  <c r="N6" i="13" s="1"/>
  <c r="M5" i="13"/>
  <c r="N5" i="13" s="1"/>
  <c r="K5" i="13"/>
  <c r="K6" i="13"/>
  <c r="L3" i="13"/>
  <c r="L2" i="13"/>
  <c r="Q3" i="13" l="1"/>
  <c r="S2" i="13" s="1"/>
  <c r="M14" i="13"/>
  <c r="N14" i="13" s="1"/>
  <c r="Q4" i="13"/>
  <c r="T2" i="13" s="1"/>
  <c r="Q2" i="13"/>
  <c r="R2" i="13" s="1"/>
  <c r="M3" i="13"/>
  <c r="N3" i="13" s="1"/>
  <c r="M2" i="13"/>
  <c r="N2" i="13" s="1"/>
</calcChain>
</file>

<file path=xl/sharedStrings.xml><?xml version="1.0" encoding="utf-8"?>
<sst xmlns="http://schemas.openxmlformats.org/spreadsheetml/2006/main" count="70" uniqueCount="29">
  <si>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</si>
  <si>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</si>
  <si>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</si>
  <si>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</si>
  <si>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</si>
  <si>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</si>
  <si>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</si>
  <si>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</si>
  <si>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</si>
  <si>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</si>
  <si>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</si>
  <si>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</si>
  <si>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</si>
  <si>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W49-W51 Buds Series ST</t>
  </si>
  <si>
    <t>G-S25</t>
  </si>
  <si>
    <t>G-S25+</t>
  </si>
  <si>
    <t>G-S25-ULTRA</t>
  </si>
  <si>
    <t>W51-W52 VE Peak Season S</t>
  </si>
  <si>
    <t>A0S3A0A250001231</t>
  </si>
  <si>
    <t>G-A06</t>
  </si>
  <si>
    <t>G-A07</t>
  </si>
  <si>
    <t>G-A16</t>
  </si>
  <si>
    <t>G-A17</t>
  </si>
  <si>
    <t>G-A26-5G</t>
  </si>
  <si>
    <t>G-A36-5G</t>
  </si>
  <si>
    <t>G-A56-5G</t>
  </si>
  <si>
    <t>A0S3A0A250001234</t>
  </si>
  <si>
    <t>W51-W52 VE Peak Season A</t>
  </si>
  <si>
    <t>A0S3A0A250001245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</si>
</sst>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0" fontId="2" fillId="5" borderId="1" xfId="0" quotePrefix="1" applyFont="1" applyFill="1" applyBorder="1"/>
    <xf numFmtId="3" fontId="0" fillId="4" borderId="1" xfId="0" applyNumberFormat="1" applyFill="1" applyBorder="1"/>
    <xf numFmtId="0" fontId="2" fillId="0" borderId="1" xfId="0" applyFont="1" applyBorder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T15"/>
  <sheetViews>
    <sheetView showGridLines="0" tabSelected="1" zoomScale="130" zoomScaleNormal="130" workbookViewId="0">
      <pane ySplit="1" topLeftCell="A2" activePane="bottomLeft" state="frozen"/>
      <selection pane="bottomLeft" activeCell="J11" sqref="J11"/>
    </sheetView>
  </sheetViews>
  <sheetFormatPr defaultRowHeight="18" customHeight="1" x14ac:dyDescent="0.2"/>
  <cols>
    <col min="1" max="1" width="20.28515625" bestFit="1" customWidth="1"/>
    <col min="2" max="2" width="41.7109375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7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6" max="16" width="11.7109375" bestFit="1" customWidth="1"/>
    <col min="17" max="17" width="12.28515625" bestFit="1" customWidth="1"/>
    <col min="18" max="19" width="11.42578125" bestFit="1" customWidth="1"/>
    <col min="20" max="20" width="11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>
        <v>1231</v>
      </c>
      <c r="S1" s="11">
        <v>1234</v>
      </c>
      <c r="T1" s="11">
        <v>1245</v>
      </c>
    </row>
    <row r="2" spans="1:20" ht="18" customHeight="1" x14ac:dyDescent="0.2">
      <c r="A2" s="14" t="s">
        <v>18</v>
      </c>
      <c r="B2" s="14" t="s">
        <v>17</v>
      </c>
      <c r="C2" s="14" t="s">
        <v>14</v>
      </c>
      <c r="D2" s="14" t="s">
        <v>14</v>
      </c>
      <c r="E2" s="2">
        <v>30</v>
      </c>
      <c r="F2" s="16">
        <v>1</v>
      </c>
      <c r="G2" s="2">
        <f t="shared" ref="G2:G6" si="0">E2*F2</f>
        <v>30</v>
      </c>
      <c r="H2" s="3"/>
      <c r="I2" s="3"/>
      <c r="J2" s="3">
        <f t="shared" ref="J2:J6" si="1">H2+I2</f>
        <v>0</v>
      </c>
      <c r="K2" s="3">
        <f t="shared" ref="K2:K6" si="2">F2-J2</f>
        <v>1</v>
      </c>
      <c r="L2" s="4">
        <f t="shared" ref="L2:L6" si="3">J2*E2</f>
        <v>0</v>
      </c>
      <c r="M2" s="4">
        <f t="shared" ref="M2:M6" si="4">G2-L2</f>
        <v>30</v>
      </c>
      <c r="N2" s="13" t="str">
        <f t="shared" ref="N2:N6" si="5">IF(M2&gt;0,"KEEP SELLING", "DO NOT SELL")</f>
        <v>KEEP SELLING</v>
      </c>
      <c r="P2" s="10">
        <f>SUM(G2:G4)</f>
        <v>3420</v>
      </c>
      <c r="Q2" s="9">
        <f>SUM(L2:L4)</f>
        <v>3360</v>
      </c>
      <c r="R2" s="12">
        <f>P2-Q2</f>
        <v>60</v>
      </c>
      <c r="S2" s="12">
        <f>P3-Q3</f>
        <v>20</v>
      </c>
      <c r="T2" s="12">
        <f>P4-Q4</f>
        <v>-16800</v>
      </c>
    </row>
    <row r="3" spans="1:20" ht="18" customHeight="1" x14ac:dyDescent="0.2">
      <c r="A3" s="14" t="s">
        <v>18</v>
      </c>
      <c r="B3" s="14" t="s">
        <v>17</v>
      </c>
      <c r="C3" s="14" t="s">
        <v>15</v>
      </c>
      <c r="D3" s="14" t="s">
        <v>15</v>
      </c>
      <c r="E3" s="2">
        <v>30</v>
      </c>
      <c r="F3" s="16">
        <v>1</v>
      </c>
      <c r="G3" s="2">
        <f t="shared" si="0"/>
        <v>30</v>
      </c>
      <c r="H3" s="3"/>
      <c r="I3" s="3"/>
      <c r="J3" s="3">
        <f t="shared" si="1"/>
        <v>0</v>
      </c>
      <c r="K3" s="3">
        <f t="shared" si="2"/>
        <v>1</v>
      </c>
      <c r="L3" s="4">
        <f t="shared" si="3"/>
        <v>0</v>
      </c>
      <c r="M3" s="4">
        <f t="shared" si="4"/>
        <v>30</v>
      </c>
      <c r="N3" s="13" t="str">
        <f t="shared" si="5"/>
        <v>KEEP SELLING</v>
      </c>
      <c r="P3" s="10">
        <f>SUM(G5:G11)</f>
        <v>34820</v>
      </c>
      <c r="Q3" s="9">
        <f>SUM(L5:L11)</f>
        <v>34800</v>
      </c>
    </row>
    <row r="4" spans="1:20" ht="18" customHeight="1" x14ac:dyDescent="0.2">
      <c r="A4" s="14" t="s">
        <v>18</v>
      </c>
      <c r="B4" s="14" t="s">
        <v>17</v>
      </c>
      <c r="C4" s="14" t="s">
        <v>16</v>
      </c>
      <c r="D4" s="14" t="s">
        <v>16</v>
      </c>
      <c r="E4" s="2">
        <v>80</v>
      </c>
      <c r="F4" s="16">
        <v>42</v>
      </c>
      <c r="G4" s="2">
        <f t="shared" si="0"/>
        <v>3360</v>
      </c>
      <c r="H4" s="3">
        <v>42</v>
      </c>
      <c r="I4" s="3"/>
      <c r="J4" s="3">
        <f t="shared" si="1"/>
        <v>42</v>
      </c>
      <c r="K4" s="3">
        <f t="shared" si="2"/>
        <v>0</v>
      </c>
      <c r="L4" s="4">
        <f t="shared" si="3"/>
        <v>3360</v>
      </c>
      <c r="M4" s="4">
        <f t="shared" si="4"/>
        <v>0</v>
      </c>
      <c r="N4" s="13" t="str">
        <f t="shared" si="5"/>
        <v>DO NOT SELL</v>
      </c>
      <c r="P4" s="10">
        <f>SUM(G12:G15)</f>
        <v>34224</v>
      </c>
      <c r="Q4" s="9">
        <f>SUM(L12:L15)</f>
        <v>51024</v>
      </c>
    </row>
    <row r="5" spans="1:20" ht="18" customHeight="1" x14ac:dyDescent="0.2">
      <c r="A5" s="14" t="s">
        <v>26</v>
      </c>
      <c r="B5" s="14" t="s">
        <v>27</v>
      </c>
      <c r="C5" s="14" t="s">
        <v>19</v>
      </c>
      <c r="D5" s="14" t="s">
        <v>19</v>
      </c>
      <c r="E5" s="2">
        <v>10</v>
      </c>
      <c r="F5" s="16">
        <v>1</v>
      </c>
      <c r="G5" s="2">
        <f t="shared" si="0"/>
        <v>10</v>
      </c>
      <c r="H5" s="3"/>
      <c r="I5" s="3"/>
      <c r="J5" s="3">
        <f t="shared" si="1"/>
        <v>0</v>
      </c>
      <c r="K5" s="3">
        <f t="shared" si="2"/>
        <v>1</v>
      </c>
      <c r="L5" s="4">
        <f t="shared" si="3"/>
        <v>0</v>
      </c>
      <c r="M5" s="4">
        <f t="shared" si="4"/>
        <v>10</v>
      </c>
      <c r="N5" s="13" t="str">
        <f t="shared" si="5"/>
        <v>KEEP SELLING</v>
      </c>
    </row>
    <row r="6" spans="1:20" ht="18" customHeight="1" x14ac:dyDescent="0.2">
      <c r="A6" s="14" t="s">
        <v>26</v>
      </c>
      <c r="B6" s="14" t="s">
        <v>27</v>
      </c>
      <c r="C6" s="14" t="s">
        <v>20</v>
      </c>
      <c r="D6" s="14" t="s">
        <v>20</v>
      </c>
      <c r="E6" s="2">
        <v>10</v>
      </c>
      <c r="F6" s="16">
        <v>1</v>
      </c>
      <c r="G6" s="2">
        <f t="shared" si="0"/>
        <v>10</v>
      </c>
      <c r="H6" s="3"/>
      <c r="I6" s="3"/>
      <c r="J6" s="3">
        <f t="shared" si="1"/>
        <v>0</v>
      </c>
      <c r="K6" s="3">
        <f t="shared" si="2"/>
        <v>1</v>
      </c>
      <c r="L6" s="4">
        <f t="shared" si="3"/>
        <v>0</v>
      </c>
      <c r="M6" s="4">
        <f t="shared" si="4"/>
        <v>10</v>
      </c>
      <c r="N6" s="13" t="str">
        <f t="shared" si="5"/>
        <v>KEEP SELLING</v>
      </c>
    </row>
    <row r="7" spans="1:20" ht="18" customHeight="1" x14ac:dyDescent="0.2">
      <c r="A7" s="14" t="s">
        <v>26</v>
      </c>
      <c r="B7" s="14" t="s">
        <v>27</v>
      </c>
      <c r="C7" s="14" t="s">
        <v>21</v>
      </c>
      <c r="D7" s="14" t="s">
        <v>21</v>
      </c>
      <c r="E7" s="2">
        <v>10</v>
      </c>
      <c r="F7" s="16">
        <v>3300</v>
      </c>
      <c r="G7" s="2">
        <f t="shared" ref="G7" si="6">E7*F7</f>
        <v>33000</v>
      </c>
      <c r="H7" s="3">
        <v>3300</v>
      </c>
      <c r="I7" s="3"/>
      <c r="J7" s="3">
        <f t="shared" ref="J7" si="7">H7+I7</f>
        <v>3300</v>
      </c>
      <c r="K7" s="3">
        <f t="shared" ref="K7" si="8">F7-J7</f>
        <v>0</v>
      </c>
      <c r="L7" s="4">
        <f t="shared" ref="L7" si="9">J7*E7</f>
        <v>33000</v>
      </c>
      <c r="M7" s="4">
        <f t="shared" ref="M7" si="10">G7-L7</f>
        <v>0</v>
      </c>
      <c r="N7" s="13" t="str">
        <f t="shared" ref="N7" si="11">IF(M7&gt;0,"KEEP SELLING", "DO NOT SELL")</f>
        <v>DO NOT SELL</v>
      </c>
    </row>
    <row r="8" spans="1:20" ht="18" customHeight="1" x14ac:dyDescent="0.2">
      <c r="A8" s="14" t="s">
        <v>26</v>
      </c>
      <c r="B8" s="14" t="s">
        <v>27</v>
      </c>
      <c r="C8" s="14" t="s">
        <v>22</v>
      </c>
      <c r="D8" s="14" t="s">
        <v>22</v>
      </c>
      <c r="E8" s="2">
        <v>10</v>
      </c>
      <c r="F8" s="16">
        <v>80</v>
      </c>
      <c r="G8" s="2">
        <f t="shared" ref="G8" si="12">E8*F8</f>
        <v>800</v>
      </c>
      <c r="H8" s="3">
        <v>80</v>
      </c>
      <c r="I8" s="3"/>
      <c r="J8" s="3">
        <f t="shared" ref="J8" si="13">H8+I8</f>
        <v>80</v>
      </c>
      <c r="K8" s="3">
        <f t="shared" ref="K8" si="14">F8-J8</f>
        <v>0</v>
      </c>
      <c r="L8" s="4">
        <f t="shared" ref="L8" si="15">J8*E8</f>
        <v>800</v>
      </c>
      <c r="M8" s="4">
        <f t="shared" ref="M8" si="16">G8-L8</f>
        <v>0</v>
      </c>
      <c r="N8" s="13" t="str">
        <f t="shared" ref="N8" si="17">IF(M8&gt;0,"KEEP SELLING", "DO NOT SELL")</f>
        <v>DO NOT SELL</v>
      </c>
    </row>
    <row r="9" spans="1:20" ht="18" customHeight="1" x14ac:dyDescent="0.2">
      <c r="A9" s="14" t="s">
        <v>26</v>
      </c>
      <c r="B9" s="14" t="s">
        <v>27</v>
      </c>
      <c r="C9" s="14" t="s">
        <v>23</v>
      </c>
      <c r="D9" s="14" t="s">
        <v>23</v>
      </c>
      <c r="E9" s="2">
        <v>10</v>
      </c>
      <c r="F9" s="16">
        <v>0</v>
      </c>
      <c r="G9" s="2">
        <f t="shared" ref="G9:G11" si="18">E9*F9</f>
        <v>0</v>
      </c>
      <c r="H9" s="3"/>
      <c r="I9" s="3"/>
      <c r="J9" s="3">
        <f t="shared" ref="J9:J11" si="19">H9+I9</f>
        <v>0</v>
      </c>
      <c r="K9" s="3">
        <f t="shared" ref="K9:K11" si="20">F9-J9</f>
        <v>0</v>
      </c>
      <c r="L9" s="4">
        <f t="shared" ref="L9:L11" si="21">J9*E9</f>
        <v>0</v>
      </c>
      <c r="M9" s="4">
        <f t="shared" ref="M9:M11" si="22">G9-L9</f>
        <v>0</v>
      </c>
      <c r="N9" s="13" t="str">
        <f t="shared" ref="N9:N11" si="23">IF(M9&gt;0,"KEEP SELLING", "DO NOT SELL")</f>
        <v>DO NOT SELL</v>
      </c>
    </row>
    <row r="10" spans="1:20" ht="18" customHeight="1" x14ac:dyDescent="0.2">
      <c r="A10" s="14" t="s">
        <v>26</v>
      </c>
      <c r="B10" s="14" t="s">
        <v>27</v>
      </c>
      <c r="C10" s="14" t="s">
        <v>24</v>
      </c>
      <c r="D10" s="14" t="s">
        <v>24</v>
      </c>
      <c r="E10" s="2">
        <v>10</v>
      </c>
      <c r="F10" s="16">
        <v>40</v>
      </c>
      <c r="G10" s="2">
        <f t="shared" si="18"/>
        <v>400</v>
      </c>
      <c r="H10" s="3">
        <v>40</v>
      </c>
      <c r="I10" s="3"/>
      <c r="J10" s="3">
        <f t="shared" si="19"/>
        <v>40</v>
      </c>
      <c r="K10" s="3">
        <f t="shared" si="20"/>
        <v>0</v>
      </c>
      <c r="L10" s="4">
        <f t="shared" si="21"/>
        <v>400</v>
      </c>
      <c r="M10" s="4">
        <f t="shared" si="22"/>
        <v>0</v>
      </c>
      <c r="N10" s="13" t="str">
        <f t="shared" si="23"/>
        <v>DO NOT SELL</v>
      </c>
    </row>
    <row r="11" spans="1:20" ht="18" customHeight="1" x14ac:dyDescent="0.2">
      <c r="A11" s="14" t="s">
        <v>26</v>
      </c>
      <c r="B11" s="14" t="s">
        <v>27</v>
      </c>
      <c r="C11" s="14" t="s">
        <v>25</v>
      </c>
      <c r="D11" s="14" t="s">
        <v>25</v>
      </c>
      <c r="E11" s="2">
        <v>10</v>
      </c>
      <c r="F11" s="16">
        <v>60</v>
      </c>
      <c r="G11" s="2">
        <f t="shared" si="18"/>
        <v>600</v>
      </c>
      <c r="H11" s="3">
        <v>60</v>
      </c>
      <c r="I11" s="3"/>
      <c r="J11" s="3">
        <f t="shared" si="19"/>
        <v>60</v>
      </c>
      <c r="K11" s="3">
        <f t="shared" si="20"/>
        <v>0</v>
      </c>
      <c r="L11" s="4">
        <f t="shared" si="21"/>
        <v>600</v>
      </c>
      <c r="M11" s="4">
        <f t="shared" si="22"/>
        <v>0</v>
      </c>
      <c r="N11" s="13" t="str">
        <f t="shared" si="23"/>
        <v>DO NOT SELL</v>
      </c>
    </row>
    <row r="12" spans="1:20" ht="18" customHeight="1" x14ac:dyDescent="0.2">
      <c r="A12" s="17" t="s">
        <v>28</v>
      </c>
      <c r="B12" s="14" t="s">
        <v>13</v>
      </c>
      <c r="C12" s="14" t="s">
        <v>21</v>
      </c>
      <c r="D12" s="14" t="s">
        <v>21</v>
      </c>
      <c r="E12" s="2">
        <v>4</v>
      </c>
      <c r="F12" s="16">
        <v>7540</v>
      </c>
      <c r="G12" s="2">
        <f t="shared" ref="G12:G15" si="24">E12*F12</f>
        <v>30160</v>
      </c>
      <c r="H12" s="3">
        <v>5540</v>
      </c>
      <c r="I12" s="3">
        <v>6200</v>
      </c>
      <c r="J12" s="3">
        <f t="shared" ref="J12:J15" si="25">H12+I12</f>
        <v>11740</v>
      </c>
      <c r="K12" s="3">
        <f t="shared" ref="K12:K15" si="26">F12-J12</f>
        <v>-4200</v>
      </c>
      <c r="L12" s="4">
        <f t="shared" ref="L12:L15" si="27">J12*E12</f>
        <v>46960</v>
      </c>
      <c r="M12" s="4">
        <f t="shared" ref="M12:M15" si="28">G12-L12</f>
        <v>-16800</v>
      </c>
      <c r="N12" s="13" t="str">
        <f t="shared" ref="N12:N15" si="29">IF(M12&gt;0,"KEEP SELLING", "DO NOT SELL")</f>
        <v>DO NOT SELL</v>
      </c>
    </row>
    <row r="13" spans="1:20" ht="18" customHeight="1" x14ac:dyDescent="0.2">
      <c r="A13" s="14" t="s">
        <v>28</v>
      </c>
      <c r="B13" s="14" t="s">
        <v>13</v>
      </c>
      <c r="C13" s="14" t="s">
        <v>23</v>
      </c>
      <c r="D13" s="14" t="s">
        <v>23</v>
      </c>
      <c r="E13" s="2">
        <v>4</v>
      </c>
      <c r="F13" s="16">
        <v>170</v>
      </c>
      <c r="G13" s="2">
        <f t="shared" si="24"/>
        <v>680</v>
      </c>
      <c r="H13" s="3">
        <v>170</v>
      </c>
      <c r="I13" s="3"/>
      <c r="J13" s="3">
        <f t="shared" si="25"/>
        <v>170</v>
      </c>
      <c r="K13" s="3">
        <f t="shared" si="26"/>
        <v>0</v>
      </c>
      <c r="L13" s="4">
        <f t="shared" si="27"/>
        <v>680</v>
      </c>
      <c r="M13" s="4">
        <f t="shared" si="28"/>
        <v>0</v>
      </c>
      <c r="N13" s="13" t="str">
        <f t="shared" si="29"/>
        <v>DO NOT SELL</v>
      </c>
    </row>
    <row r="14" spans="1:20" ht="18" customHeight="1" x14ac:dyDescent="0.2">
      <c r="A14" s="14" t="s">
        <v>28</v>
      </c>
      <c r="B14" s="14" t="s">
        <v>13</v>
      </c>
      <c r="C14" s="14" t="s">
        <v>24</v>
      </c>
      <c r="D14" s="14" t="s">
        <v>24</v>
      </c>
      <c r="E14" s="2">
        <v>4</v>
      </c>
      <c r="F14" s="16">
        <v>355</v>
      </c>
      <c r="G14" s="2">
        <f t="shared" si="24"/>
        <v>1420</v>
      </c>
      <c r="H14" s="3">
        <v>355</v>
      </c>
      <c r="I14" s="3"/>
      <c r="J14" s="3">
        <f t="shared" si="25"/>
        <v>355</v>
      </c>
      <c r="K14" s="3">
        <f t="shared" si="26"/>
        <v>0</v>
      </c>
      <c r="L14" s="4">
        <f t="shared" si="27"/>
        <v>1420</v>
      </c>
      <c r="M14" s="4">
        <f t="shared" si="28"/>
        <v>0</v>
      </c>
      <c r="N14" s="13" t="str">
        <f t="shared" si="29"/>
        <v>DO NOT SELL</v>
      </c>
    </row>
    <row r="15" spans="1:20" ht="18" customHeight="1" x14ac:dyDescent="0.2">
      <c r="A15" s="14" t="s">
        <v>28</v>
      </c>
      <c r="B15" s="14" t="s">
        <v>13</v>
      </c>
      <c r="C15" s="14" t="s">
        <v>25</v>
      </c>
      <c r="D15" s="14" t="s">
        <v>25</v>
      </c>
      <c r="E15" s="2">
        <v>4</v>
      </c>
      <c r="F15" s="16">
        <v>491</v>
      </c>
      <c r="G15" s="2">
        <f t="shared" si="24"/>
        <v>1964</v>
      </c>
      <c r="H15" s="3">
        <v>491</v>
      </c>
      <c r="I15" s="3"/>
      <c r="J15" s="3">
        <f t="shared" si="25"/>
        <v>491</v>
      </c>
      <c r="K15" s="3">
        <f t="shared" si="26"/>
        <v>0</v>
      </c>
      <c r="L15" s="4">
        <f t="shared" si="27"/>
        <v>1964</v>
      </c>
      <c r="M15" s="4">
        <f t="shared" si="28"/>
        <v>0</v>
      </c>
      <c r="N15" s="13" t="str">
        <f t="shared" si="29"/>
        <v>DO NOT SELL</v>
      </c>
    </row>
  </sheetData>
  <conditionalFormatting sqref="H2:I15 K2:N15">
    <cfRule type="cellIs" dxfId="2" priority="1" operator="lessThan">
      <formula>0</formula>
    </cfRule>
  </conditionalFormatting>
  <conditionalFormatting sqref="N1:N1048576">
    <cfRule type="containsText" dxfId="1" priority="21" operator="containsText" text="DO NOT SELL">
      <formula>NOT(ISERROR(SEARCH("DO NOT SELL",N1)))</formula>
    </cfRule>
    <cfRule type="containsText" dxfId="0" priority="22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2025-12-19T20:40:42Z</dcterms:modified>
  <cp:category/>
  <cp:contentStatus/>
</cp:coreProperties>
</file>