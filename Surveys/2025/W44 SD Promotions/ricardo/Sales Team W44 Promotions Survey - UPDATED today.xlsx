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ricardo\"/>
    </mc:Choice>
  </mc:AlternateContent>
  <xr:revisionPtr revIDLastSave="0" documentId="13_ncr:1_{01EE1020-D1A6-4BEC-A1F8-CB9AF4525C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now'!$A$1:$O$19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O11" i="13"/>
  <c r="J19" i="13"/>
  <c r="L19" i="13" s="1"/>
  <c r="J18" i="13"/>
  <c r="K18" i="13" s="1"/>
  <c r="J17" i="13"/>
  <c r="L17" i="13" s="1"/>
  <c r="J16" i="13"/>
  <c r="K16" i="13" s="1"/>
  <c r="J15" i="13"/>
  <c r="K15" i="13" s="1"/>
  <c r="J14" i="13"/>
  <c r="K14" i="13" s="1"/>
  <c r="J13" i="13"/>
  <c r="K13" i="13" s="1"/>
  <c r="J12" i="13"/>
  <c r="L12" i="13" s="1"/>
  <c r="K11" i="13"/>
  <c r="J10" i="13"/>
  <c r="L10" i="13" s="1"/>
  <c r="J9" i="13"/>
  <c r="L9" i="13" s="1"/>
  <c r="J8" i="13"/>
  <c r="K8" i="13" s="1"/>
  <c r="J7" i="13"/>
  <c r="L7" i="13" s="1"/>
  <c r="J6" i="13"/>
  <c r="L6" i="13" s="1"/>
  <c r="J5" i="13"/>
  <c r="L5" i="13" s="1"/>
  <c r="G19" i="13"/>
  <c r="G18" i="13"/>
  <c r="G17" i="13"/>
  <c r="G16" i="13"/>
  <c r="G15" i="13"/>
  <c r="G14" i="13"/>
  <c r="G13" i="13"/>
  <c r="G12" i="13"/>
  <c r="G11" i="13"/>
  <c r="G10" i="13"/>
  <c r="Q3" i="13" s="1"/>
  <c r="G9" i="13"/>
  <c r="G8" i="13"/>
  <c r="G7" i="13"/>
  <c r="G6" i="13"/>
  <c r="G5" i="13"/>
  <c r="G4" i="13"/>
  <c r="G3" i="13"/>
  <c r="G2" i="13"/>
  <c r="J4" i="13"/>
  <c r="L4" i="13" s="1"/>
  <c r="J3" i="13"/>
  <c r="L3" i="13" s="1"/>
  <c r="J2" i="13"/>
  <c r="K2" i="13" s="1"/>
  <c r="Q2" i="13" l="1"/>
  <c r="M10" i="13"/>
  <c r="N10" i="13" s="1"/>
  <c r="Q4" i="13"/>
  <c r="M9" i="13"/>
  <c r="N9" i="13" s="1"/>
  <c r="M12" i="13"/>
  <c r="N12" i="13" s="1"/>
  <c r="M17" i="13"/>
  <c r="N17" i="13" s="1"/>
  <c r="M6" i="13"/>
  <c r="N6" i="13" s="1"/>
  <c r="M5" i="13"/>
  <c r="N5" i="13" s="1"/>
  <c r="M7" i="13"/>
  <c r="N7" i="13" s="1"/>
  <c r="M19" i="13"/>
  <c r="N19" i="13" s="1"/>
  <c r="R3" i="13"/>
  <c r="T2" i="13" s="1"/>
  <c r="K12" i="13"/>
  <c r="L15" i="13"/>
  <c r="M15" i="13" s="1"/>
  <c r="N15" i="13" s="1"/>
  <c r="K10" i="13"/>
  <c r="K6" i="13"/>
  <c r="L13" i="13"/>
  <c r="M13" i="13" s="1"/>
  <c r="N13" i="13" s="1"/>
  <c r="L18" i="13"/>
  <c r="M18" i="13" s="1"/>
  <c r="N18" i="13" s="1"/>
  <c r="L11" i="13"/>
  <c r="K7" i="13"/>
  <c r="L14" i="13"/>
  <c r="M14" i="13" s="1"/>
  <c r="N14" i="13" s="1"/>
  <c r="K19" i="13"/>
  <c r="L8" i="13"/>
  <c r="K9" i="13"/>
  <c r="L16" i="13"/>
  <c r="M16" i="13" s="1"/>
  <c r="N16" i="13" s="1"/>
  <c r="K5" i="13"/>
  <c r="K17" i="13"/>
  <c r="M3" i="13"/>
  <c r="N3" i="13" s="1"/>
  <c r="M4" i="13"/>
  <c r="N4" i="13" s="1"/>
  <c r="K4" i="13"/>
  <c r="L2" i="13"/>
  <c r="K3" i="13"/>
  <c r="M8" i="13" l="1"/>
  <c r="N8" i="13" s="1"/>
  <c r="R2" i="13"/>
  <c r="S2" i="13" s="1"/>
  <c r="M11" i="13"/>
  <c r="N11" i="13" s="1"/>
  <c r="R4" i="13"/>
  <c r="U2" i="13" s="1"/>
  <c r="M2" i="13"/>
  <c r="N2" i="13" s="1"/>
</calcChain>
</file>

<file path=xl/sharedStrings.xml><?xml version="1.0" encoding="utf-8"?>
<sst xmlns="http://schemas.openxmlformats.org/spreadsheetml/2006/main" count="88" uniqueCount="30">
  <si>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</si>
  <si>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</si>
  <si>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</si>
  <si>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</si>
  <si>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</si>
  <si>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</si>
  <si>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</si>
  <si>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</si>
  <si>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</si>
  <si>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</si>
  <si>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</si>
  <si>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</si>
  <si>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</si>
  <si>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A0S3A0A250001020</t>
  </si>
  <si>
    <t>VITEL W42-W44 VE Sell-Thru Promotion</t>
  </si>
  <si>
    <t>A0S3A0A250001051</t>
  </si>
  <si>
    <t>VITEL W43-W44 S25 Ultra OM ST Promo</t>
  </si>
  <si>
    <t>A0S3A0A250001057</t>
  </si>
  <si>
    <t>W43-W44 Vitel Soytechno Sell-Thru Promotion</t>
  </si>
  <si>
    <t>G-A06</t>
  </si>
  <si>
    <t>G-A07</t>
  </si>
  <si>
    <t>G-A16</t>
  </si>
  <si>
    <t>G-A16-5G</t>
  </si>
  <si>
    <t>G-A17</t>
  </si>
  <si>
    <t>G-S25</t>
  </si>
  <si>
    <t>G-S25+</t>
  </si>
  <si>
    <t>G-S25-ULTRA</t>
  </si>
  <si>
    <t>G-S24-ULTRA</t>
  </si>
  <si>
    <t>1020</t>
  </si>
  <si>
    <t>Old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</si>
</sst>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sheetPr filterMode="1"/>
  <dimension ref="A1:U21"/>
  <sheetViews>
    <sheetView showGridLines="0" tabSelected="1" zoomScaleNormal="100" workbookViewId="0">
      <pane ySplit="1" topLeftCell="A11" activePane="bottomLeft" state="frozen"/>
      <selection pane="bottomLeft" activeCell="B19" sqref="B19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425781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20" width="11.42578125" bestFit="1" customWidth="1"/>
    <col min="21" max="21" width="10.710937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O1" s="5" t="s">
        <v>29</v>
      </c>
      <c r="S1" s="11" t="s">
        <v>28</v>
      </c>
      <c r="T1" s="11">
        <v>1051</v>
      </c>
      <c r="U1" s="11">
        <v>1057</v>
      </c>
    </row>
    <row r="2" spans="1:21" ht="18" hidden="1" customHeight="1" x14ac:dyDescent="0.2">
      <c r="A2" s="14" t="s">
        <v>13</v>
      </c>
      <c r="B2" s="14" t="s">
        <v>14</v>
      </c>
      <c r="C2" s="14" t="s">
        <v>19</v>
      </c>
      <c r="D2" s="14" t="s">
        <v>19</v>
      </c>
      <c r="E2" s="2">
        <v>10</v>
      </c>
      <c r="F2" s="15">
        <v>0</v>
      </c>
      <c r="G2" s="2">
        <f>E2*F2</f>
        <v>0</v>
      </c>
      <c r="H2" s="3"/>
      <c r="I2" s="3"/>
      <c r="J2" s="3">
        <f t="shared" ref="J2:J3" si="0">H2+I2</f>
        <v>0</v>
      </c>
      <c r="K2" s="3">
        <f t="shared" ref="K2:K3" si="1">F2-J2</f>
        <v>0</v>
      </c>
      <c r="L2" s="4">
        <f t="shared" ref="L2:L3" si="2">J2*E2</f>
        <v>0</v>
      </c>
      <c r="M2" s="4">
        <f t="shared" ref="M2:M3" si="3">G2-L2</f>
        <v>0</v>
      </c>
      <c r="N2" s="13" t="str">
        <f t="shared" ref="N2:N3" si="4">IF(M2&gt;0,"KEEP SELLING", "DO NOT SELL")</f>
        <v>DO NOT SELL</v>
      </c>
      <c r="Q2" s="10">
        <f>SUM(G2:G9)</f>
        <v>77730</v>
      </c>
      <c r="R2" s="9">
        <f>SUM(L2:L9)</f>
        <v>73070</v>
      </c>
      <c r="S2" s="12">
        <f>Q2-R2</f>
        <v>4660</v>
      </c>
      <c r="T2" s="12">
        <f>Q3-R3</f>
        <v>18400</v>
      </c>
      <c r="U2" s="12">
        <f>Q4-R4</f>
        <v>-14040</v>
      </c>
    </row>
    <row r="3" spans="1:21" ht="18" hidden="1" customHeight="1" x14ac:dyDescent="0.2">
      <c r="A3" s="14" t="s">
        <v>13</v>
      </c>
      <c r="B3" s="14" t="s">
        <v>14</v>
      </c>
      <c r="C3" s="14" t="s">
        <v>20</v>
      </c>
      <c r="D3" s="14" t="s">
        <v>20</v>
      </c>
      <c r="E3" s="2">
        <v>10</v>
      </c>
      <c r="F3" s="15">
        <v>1280</v>
      </c>
      <c r="G3" s="2">
        <f t="shared" ref="G3:G19" si="5">E3*F3</f>
        <v>12800</v>
      </c>
      <c r="H3" s="3">
        <v>710</v>
      </c>
      <c r="I3" s="3">
        <v>570</v>
      </c>
      <c r="J3" s="3">
        <f t="shared" si="0"/>
        <v>1280</v>
      </c>
      <c r="K3" s="3">
        <f t="shared" si="1"/>
        <v>0</v>
      </c>
      <c r="L3" s="4">
        <f t="shared" si="2"/>
        <v>12800</v>
      </c>
      <c r="M3" s="4">
        <f t="shared" si="3"/>
        <v>0</v>
      </c>
      <c r="N3" s="13" t="str">
        <f t="shared" si="4"/>
        <v>DO NOT SELL</v>
      </c>
      <c r="Q3" s="10">
        <f>SUM(G10)</f>
        <v>150800</v>
      </c>
      <c r="R3" s="9">
        <f>SUM(L10)</f>
        <v>132400</v>
      </c>
    </row>
    <row r="4" spans="1:21" ht="18" hidden="1" customHeight="1" x14ac:dyDescent="0.2">
      <c r="A4" s="14" t="s">
        <v>13</v>
      </c>
      <c r="B4" s="14" t="s">
        <v>14</v>
      </c>
      <c r="C4" s="14" t="s">
        <v>21</v>
      </c>
      <c r="D4" s="14" t="s">
        <v>21</v>
      </c>
      <c r="E4" s="2">
        <v>10</v>
      </c>
      <c r="F4" s="15">
        <v>2570</v>
      </c>
      <c r="G4" s="2">
        <f t="shared" si="5"/>
        <v>25700</v>
      </c>
      <c r="H4" s="3">
        <v>1490</v>
      </c>
      <c r="I4" s="3">
        <v>1600</v>
      </c>
      <c r="J4" s="3">
        <f t="shared" ref="J4" si="6">H4+I4</f>
        <v>3090</v>
      </c>
      <c r="K4" s="3">
        <f t="shared" ref="K4" si="7">F4-J4</f>
        <v>-520</v>
      </c>
      <c r="L4" s="4">
        <f t="shared" ref="L4" si="8">J4*E4</f>
        <v>30900</v>
      </c>
      <c r="M4" s="4">
        <f t="shared" ref="M4" si="9">G4-L4</f>
        <v>-5200</v>
      </c>
      <c r="N4" s="13" t="str">
        <f t="shared" ref="N4" si="10">IF(M4&gt;0,"KEEP SELLING", "DO NOT SELL")</f>
        <v>DO NOT SELL</v>
      </c>
      <c r="Q4" s="10">
        <f>SUM(G11:G19)</f>
        <v>46600</v>
      </c>
      <c r="R4" s="9">
        <f>SUM(L11:L19)</f>
        <v>60640</v>
      </c>
    </row>
    <row r="5" spans="1:21" ht="18" hidden="1" customHeight="1" x14ac:dyDescent="0.2">
      <c r="A5" s="14" t="s">
        <v>13</v>
      </c>
      <c r="B5" s="14" t="s">
        <v>14</v>
      </c>
      <c r="C5" s="14" t="s">
        <v>22</v>
      </c>
      <c r="D5" s="14" t="s">
        <v>22</v>
      </c>
      <c r="E5" s="2">
        <v>5</v>
      </c>
      <c r="F5" s="15">
        <v>0</v>
      </c>
      <c r="G5" s="2">
        <f t="shared" si="5"/>
        <v>0</v>
      </c>
      <c r="H5" s="3"/>
      <c r="I5" s="3"/>
      <c r="J5" s="3">
        <f t="shared" ref="J5:J19" si="11">H5+I5</f>
        <v>0</v>
      </c>
      <c r="K5" s="3">
        <f t="shared" ref="K5:K19" si="12">F5-J5</f>
        <v>0</v>
      </c>
      <c r="L5" s="4">
        <f t="shared" ref="L5:L19" si="13">J5*E5</f>
        <v>0</v>
      </c>
      <c r="M5" s="4">
        <f t="shared" ref="M5:M19" si="14">G5-L5</f>
        <v>0</v>
      </c>
      <c r="N5" s="13" t="str">
        <f t="shared" ref="N5:N19" si="15">IF(M5&gt;0,"KEEP SELLING", "DO NOT SELL")</f>
        <v>DO NOT SELL</v>
      </c>
    </row>
    <row r="6" spans="1:21" ht="18" hidden="1" customHeight="1" x14ac:dyDescent="0.2">
      <c r="A6" s="14" t="s">
        <v>13</v>
      </c>
      <c r="B6" s="14" t="s">
        <v>14</v>
      </c>
      <c r="C6" s="14" t="s">
        <v>23</v>
      </c>
      <c r="D6" s="14" t="s">
        <v>23</v>
      </c>
      <c r="E6" s="2">
        <v>10</v>
      </c>
      <c r="F6" s="15">
        <v>480</v>
      </c>
      <c r="G6" s="2">
        <f t="shared" si="5"/>
        <v>4800</v>
      </c>
      <c r="H6" s="3">
        <v>180</v>
      </c>
      <c r="I6" s="3"/>
      <c r="J6" s="3">
        <f t="shared" si="11"/>
        <v>180</v>
      </c>
      <c r="K6" s="3">
        <f t="shared" si="12"/>
        <v>300</v>
      </c>
      <c r="L6" s="4">
        <f t="shared" si="13"/>
        <v>1800</v>
      </c>
      <c r="M6" s="4">
        <f t="shared" si="14"/>
        <v>3000</v>
      </c>
      <c r="N6" s="13" t="str">
        <f t="shared" si="15"/>
        <v>KEEP SELLING</v>
      </c>
    </row>
    <row r="7" spans="1:21" ht="18" hidden="1" customHeight="1" x14ac:dyDescent="0.2">
      <c r="A7" s="14" t="s">
        <v>13</v>
      </c>
      <c r="B7" s="14" t="s">
        <v>14</v>
      </c>
      <c r="C7" s="14" t="s">
        <v>24</v>
      </c>
      <c r="D7" s="14" t="s">
        <v>24</v>
      </c>
      <c r="E7" s="2">
        <v>30</v>
      </c>
      <c r="F7" s="15">
        <v>104</v>
      </c>
      <c r="G7" s="2">
        <f t="shared" si="5"/>
        <v>3120</v>
      </c>
      <c r="H7" s="3">
        <v>74</v>
      </c>
      <c r="I7" s="3"/>
      <c r="J7" s="3">
        <f t="shared" si="11"/>
        <v>74</v>
      </c>
      <c r="K7" s="3">
        <f t="shared" si="12"/>
        <v>30</v>
      </c>
      <c r="L7" s="4">
        <f t="shared" si="13"/>
        <v>2220</v>
      </c>
      <c r="M7" s="4">
        <f t="shared" si="14"/>
        <v>900</v>
      </c>
      <c r="N7" s="13" t="str">
        <f t="shared" si="15"/>
        <v>KEEP SELLING</v>
      </c>
    </row>
    <row r="8" spans="1:21" ht="18" hidden="1" customHeight="1" x14ac:dyDescent="0.2">
      <c r="A8" s="14" t="s">
        <v>13</v>
      </c>
      <c r="B8" s="14" t="s">
        <v>14</v>
      </c>
      <c r="C8" s="14" t="s">
        <v>25</v>
      </c>
      <c r="D8" s="14" t="s">
        <v>25</v>
      </c>
      <c r="E8" s="2">
        <v>30</v>
      </c>
      <c r="F8" s="15">
        <v>81</v>
      </c>
      <c r="G8" s="2">
        <f t="shared" si="5"/>
        <v>2430</v>
      </c>
      <c r="H8" s="3">
        <v>51</v>
      </c>
      <c r="I8" s="3">
        <v>10</v>
      </c>
      <c r="J8" s="3">
        <f t="shared" si="11"/>
        <v>61</v>
      </c>
      <c r="K8" s="3">
        <f t="shared" si="12"/>
        <v>20</v>
      </c>
      <c r="L8" s="4">
        <f t="shared" si="13"/>
        <v>1830</v>
      </c>
      <c r="M8" s="4">
        <f t="shared" si="14"/>
        <v>600</v>
      </c>
      <c r="N8" s="13" t="str">
        <f t="shared" si="15"/>
        <v>KEEP SELLING</v>
      </c>
    </row>
    <row r="9" spans="1:21" ht="18" hidden="1" customHeight="1" x14ac:dyDescent="0.2">
      <c r="A9" s="14" t="s">
        <v>13</v>
      </c>
      <c r="B9" s="14" t="s">
        <v>14</v>
      </c>
      <c r="C9" s="14" t="s">
        <v>26</v>
      </c>
      <c r="D9" s="14" t="s">
        <v>26</v>
      </c>
      <c r="E9" s="2">
        <v>80</v>
      </c>
      <c r="F9" s="15">
        <v>361</v>
      </c>
      <c r="G9" s="2">
        <f t="shared" si="5"/>
        <v>28880</v>
      </c>
      <c r="H9" s="3">
        <v>261</v>
      </c>
      <c r="I9" s="3">
        <v>33</v>
      </c>
      <c r="J9" s="3">
        <f t="shared" si="11"/>
        <v>294</v>
      </c>
      <c r="K9" s="3">
        <f t="shared" si="12"/>
        <v>67</v>
      </c>
      <c r="L9" s="4">
        <f t="shared" si="13"/>
        <v>23520</v>
      </c>
      <c r="M9" s="4">
        <f t="shared" si="14"/>
        <v>5360</v>
      </c>
      <c r="N9" s="13" t="str">
        <f t="shared" si="15"/>
        <v>KEEP SELLING</v>
      </c>
    </row>
    <row r="10" spans="1:21" ht="18" hidden="1" customHeight="1" x14ac:dyDescent="0.2">
      <c r="A10" s="14" t="s">
        <v>15</v>
      </c>
      <c r="B10" s="14" t="s">
        <v>16</v>
      </c>
      <c r="C10" s="14" t="s">
        <v>26</v>
      </c>
      <c r="D10" s="14" t="s">
        <v>26</v>
      </c>
      <c r="E10" s="2">
        <v>50</v>
      </c>
      <c r="F10" s="15">
        <v>3016</v>
      </c>
      <c r="G10" s="2">
        <f t="shared" si="5"/>
        <v>150800</v>
      </c>
      <c r="H10" s="3">
        <v>2200</v>
      </c>
      <c r="I10" s="3">
        <v>448</v>
      </c>
      <c r="J10" s="3">
        <f t="shared" si="11"/>
        <v>2648</v>
      </c>
      <c r="K10" s="3">
        <f t="shared" si="12"/>
        <v>368</v>
      </c>
      <c r="L10" s="4">
        <f t="shared" si="13"/>
        <v>132400</v>
      </c>
      <c r="M10" s="4">
        <f t="shared" si="14"/>
        <v>18400</v>
      </c>
      <c r="N10" s="13" t="str">
        <f t="shared" si="15"/>
        <v>KEEP SELLING</v>
      </c>
      <c r="O10" s="3">
        <v>3016</v>
      </c>
    </row>
    <row r="11" spans="1:21" ht="18" customHeight="1" x14ac:dyDescent="0.2">
      <c r="A11" s="14" t="s">
        <v>17</v>
      </c>
      <c r="B11" s="14" t="s">
        <v>18</v>
      </c>
      <c r="C11" s="14" t="s">
        <v>19</v>
      </c>
      <c r="D11" s="14" t="s">
        <v>19</v>
      </c>
      <c r="E11" s="2">
        <v>10</v>
      </c>
      <c r="F11" s="15">
        <v>1100</v>
      </c>
      <c r="G11" s="2">
        <f t="shared" si="5"/>
        <v>11000</v>
      </c>
      <c r="H11" s="3"/>
      <c r="I11" s="3">
        <v>2604</v>
      </c>
      <c r="J11" s="3">
        <f t="shared" si="11"/>
        <v>2604</v>
      </c>
      <c r="K11" s="3">
        <f t="shared" si="12"/>
        <v>-1504</v>
      </c>
      <c r="L11" s="4">
        <f t="shared" si="13"/>
        <v>26040</v>
      </c>
      <c r="M11" s="4">
        <f t="shared" si="14"/>
        <v>-15040</v>
      </c>
      <c r="N11" s="13" t="str">
        <f t="shared" si="15"/>
        <v>DO NOT SELL</v>
      </c>
      <c r="O11" s="8">
        <f>I11-1307</f>
        <v>1297</v>
      </c>
    </row>
    <row r="12" spans="1:21" ht="18" customHeight="1" x14ac:dyDescent="0.2">
      <c r="A12" s="14" t="s">
        <v>17</v>
      </c>
      <c r="B12" s="14" t="s">
        <v>18</v>
      </c>
      <c r="C12" s="14" t="s">
        <v>20</v>
      </c>
      <c r="D12" s="14" t="s">
        <v>20</v>
      </c>
      <c r="E12" s="2">
        <v>10</v>
      </c>
      <c r="F12" s="15">
        <v>300</v>
      </c>
      <c r="G12" s="2">
        <f t="shared" si="5"/>
        <v>3000</v>
      </c>
      <c r="H12" s="3"/>
      <c r="I12" s="3">
        <v>300</v>
      </c>
      <c r="J12" s="3">
        <f t="shared" si="11"/>
        <v>300</v>
      </c>
      <c r="K12" s="3">
        <f t="shared" si="12"/>
        <v>0</v>
      </c>
      <c r="L12" s="4">
        <f t="shared" si="13"/>
        <v>3000</v>
      </c>
      <c r="M12" s="4">
        <f t="shared" si="14"/>
        <v>0</v>
      </c>
      <c r="N12" s="13" t="str">
        <f t="shared" si="15"/>
        <v>DO NOT SELL</v>
      </c>
    </row>
    <row r="13" spans="1:21" ht="18" customHeight="1" x14ac:dyDescent="0.2">
      <c r="A13" s="14" t="s">
        <v>17</v>
      </c>
      <c r="B13" s="14" t="s">
        <v>18</v>
      </c>
      <c r="C13" s="14" t="s">
        <v>21</v>
      </c>
      <c r="D13" s="14" t="s">
        <v>21</v>
      </c>
      <c r="E13" s="2">
        <v>10</v>
      </c>
      <c r="F13" s="15">
        <v>2200</v>
      </c>
      <c r="G13" s="2">
        <f t="shared" si="5"/>
        <v>22000</v>
      </c>
      <c r="H13" s="3">
        <v>2200</v>
      </c>
      <c r="I13" s="3"/>
      <c r="J13" s="3">
        <f t="shared" si="11"/>
        <v>2200</v>
      </c>
      <c r="K13" s="3">
        <f t="shared" si="12"/>
        <v>0</v>
      </c>
      <c r="L13" s="4">
        <f t="shared" si="13"/>
        <v>22000</v>
      </c>
      <c r="M13" s="4">
        <f t="shared" si="14"/>
        <v>0</v>
      </c>
      <c r="N13" s="13" t="str">
        <f t="shared" si="15"/>
        <v>DO NOT SELL</v>
      </c>
    </row>
    <row r="14" spans="1:21" ht="18" customHeight="1" x14ac:dyDescent="0.2">
      <c r="A14" s="14" t="s">
        <v>17</v>
      </c>
      <c r="B14" s="14" t="s">
        <v>18</v>
      </c>
      <c r="C14" s="14" t="s">
        <v>22</v>
      </c>
      <c r="D14" s="14" t="s">
        <v>22</v>
      </c>
      <c r="E14" s="2">
        <v>5</v>
      </c>
      <c r="F14" s="15">
        <v>0</v>
      </c>
      <c r="G14" s="2">
        <f t="shared" si="5"/>
        <v>0</v>
      </c>
      <c r="H14" s="3"/>
      <c r="I14" s="3"/>
      <c r="J14" s="3">
        <f t="shared" si="11"/>
        <v>0</v>
      </c>
      <c r="K14" s="3">
        <f t="shared" si="12"/>
        <v>0</v>
      </c>
      <c r="L14" s="4">
        <f t="shared" si="13"/>
        <v>0</v>
      </c>
      <c r="M14" s="4">
        <f t="shared" si="14"/>
        <v>0</v>
      </c>
      <c r="N14" s="13" t="str">
        <f t="shared" si="15"/>
        <v>DO NOT SELL</v>
      </c>
    </row>
    <row r="15" spans="1:21" ht="18" customHeight="1" x14ac:dyDescent="0.2">
      <c r="A15" s="14" t="s">
        <v>17</v>
      </c>
      <c r="B15" s="14" t="s">
        <v>18</v>
      </c>
      <c r="C15" s="14" t="s">
        <v>23</v>
      </c>
      <c r="D15" s="14" t="s">
        <v>23</v>
      </c>
      <c r="E15" s="2">
        <v>10</v>
      </c>
      <c r="F15" s="15">
        <v>100</v>
      </c>
      <c r="G15" s="2">
        <f t="shared" si="5"/>
        <v>1000</v>
      </c>
      <c r="H15" s="3"/>
      <c r="I15" s="3"/>
      <c r="J15" s="3">
        <f t="shared" si="11"/>
        <v>0</v>
      </c>
      <c r="K15" s="3">
        <f t="shared" si="12"/>
        <v>100</v>
      </c>
      <c r="L15" s="4">
        <f t="shared" si="13"/>
        <v>0</v>
      </c>
      <c r="M15" s="4">
        <f t="shared" si="14"/>
        <v>1000</v>
      </c>
      <c r="N15" s="13" t="str">
        <f t="shared" si="15"/>
        <v>KEEP SELLING</v>
      </c>
    </row>
    <row r="16" spans="1:21" ht="18" customHeight="1" x14ac:dyDescent="0.2">
      <c r="A16" s="14" t="s">
        <v>17</v>
      </c>
      <c r="B16" s="14" t="s">
        <v>18</v>
      </c>
      <c r="C16" s="14" t="s">
        <v>27</v>
      </c>
      <c r="D16" s="14" t="s">
        <v>27</v>
      </c>
      <c r="E16" s="2">
        <v>30</v>
      </c>
      <c r="F16" s="15">
        <v>0</v>
      </c>
      <c r="G16" s="2">
        <f t="shared" si="5"/>
        <v>0</v>
      </c>
      <c r="H16" s="3"/>
      <c r="I16" s="3"/>
      <c r="J16" s="3">
        <f t="shared" si="11"/>
        <v>0</v>
      </c>
      <c r="K16" s="3">
        <f t="shared" si="12"/>
        <v>0</v>
      </c>
      <c r="L16" s="4">
        <f t="shared" si="13"/>
        <v>0</v>
      </c>
      <c r="M16" s="4">
        <f t="shared" si="14"/>
        <v>0</v>
      </c>
      <c r="N16" s="13" t="str">
        <f t="shared" si="15"/>
        <v>DO NOT SELL</v>
      </c>
    </row>
    <row r="17" spans="1:14" ht="18" customHeight="1" x14ac:dyDescent="0.2">
      <c r="A17" s="14" t="s">
        <v>17</v>
      </c>
      <c r="B17" s="14" t="s">
        <v>18</v>
      </c>
      <c r="C17" s="14" t="s">
        <v>24</v>
      </c>
      <c r="D17" s="14" t="s">
        <v>24</v>
      </c>
      <c r="E17" s="2">
        <v>30</v>
      </c>
      <c r="F17" s="15">
        <v>0</v>
      </c>
      <c r="G17" s="2">
        <f t="shared" si="5"/>
        <v>0</v>
      </c>
      <c r="H17" s="3"/>
      <c r="I17" s="3"/>
      <c r="J17" s="3">
        <f t="shared" si="11"/>
        <v>0</v>
      </c>
      <c r="K17" s="3">
        <f t="shared" si="12"/>
        <v>0</v>
      </c>
      <c r="L17" s="4">
        <f t="shared" si="13"/>
        <v>0</v>
      </c>
      <c r="M17" s="4">
        <f t="shared" si="14"/>
        <v>0</v>
      </c>
      <c r="N17" s="13" t="str">
        <f t="shared" si="15"/>
        <v>DO NOT SELL</v>
      </c>
    </row>
    <row r="18" spans="1:14" ht="18" customHeight="1" x14ac:dyDescent="0.2">
      <c r="A18" s="14" t="s">
        <v>17</v>
      </c>
      <c r="B18" s="14" t="s">
        <v>18</v>
      </c>
      <c r="C18" s="14" t="s">
        <v>25</v>
      </c>
      <c r="D18" s="14" t="s">
        <v>25</v>
      </c>
      <c r="E18" s="2">
        <v>30</v>
      </c>
      <c r="F18" s="15">
        <v>0</v>
      </c>
      <c r="G18" s="2">
        <f t="shared" si="5"/>
        <v>0</v>
      </c>
      <c r="H18" s="3"/>
      <c r="I18" s="3"/>
      <c r="J18" s="3">
        <f t="shared" si="11"/>
        <v>0</v>
      </c>
      <c r="K18" s="3">
        <f t="shared" si="12"/>
        <v>0</v>
      </c>
      <c r="L18" s="4">
        <f t="shared" si="13"/>
        <v>0</v>
      </c>
      <c r="M18" s="4">
        <f t="shared" si="14"/>
        <v>0</v>
      </c>
      <c r="N18" s="13" t="str">
        <f t="shared" si="15"/>
        <v>DO NOT SELL</v>
      </c>
    </row>
    <row r="19" spans="1:14" ht="18" customHeight="1" x14ac:dyDescent="0.2">
      <c r="A19" s="14" t="s">
        <v>17</v>
      </c>
      <c r="B19" s="14" t="s">
        <v>18</v>
      </c>
      <c r="C19" s="14" t="s">
        <v>26</v>
      </c>
      <c r="D19" s="14" t="s">
        <v>26</v>
      </c>
      <c r="E19" s="2">
        <v>80</v>
      </c>
      <c r="F19" s="15">
        <v>120</v>
      </c>
      <c r="G19" s="2">
        <f t="shared" si="5"/>
        <v>9600</v>
      </c>
      <c r="H19" s="3">
        <v>120</v>
      </c>
      <c r="I19" s="3"/>
      <c r="J19" s="3">
        <f t="shared" si="11"/>
        <v>120</v>
      </c>
      <c r="K19" s="3">
        <f t="shared" si="12"/>
        <v>0</v>
      </c>
      <c r="L19" s="4">
        <f t="shared" si="13"/>
        <v>9600</v>
      </c>
      <c r="M19" s="4">
        <f t="shared" si="14"/>
        <v>0</v>
      </c>
      <c r="N19" s="13" t="str">
        <f t="shared" si="15"/>
        <v>DO NOT SELL</v>
      </c>
    </row>
    <row r="20" spans="1:14" ht="18" customHeight="1" x14ac:dyDescent="0.2">
      <c r="J20" s="16"/>
    </row>
    <row r="21" spans="1:14" ht="18" customHeight="1" x14ac:dyDescent="0.2">
      <c r="I21" s="8"/>
    </row>
  </sheetData>
  <autoFilter ref="A1:O19" xr:uid="{824B3D37-9A6F-4650-B475-D01F00096AE9}">
    <filterColumn colId="0">
      <filters>
        <filter val="A0S3A0A250001057"/>
      </filters>
    </filterColumn>
  </autoFilter>
  <conditionalFormatting sqref="H2:I19 K2:N19">
    <cfRule type="cellIs" dxfId="2" priority="1" operator="lessThan">
      <formula>0</formula>
    </cfRule>
  </conditionalFormatting>
  <conditionalFormatting sqref="O1 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2025-10-30T21:54:08Z</dcterms:modified>
  <cp:category/>
  <cp:contentStatus/>
</cp:coreProperties>
</file>