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4 SD Promotions\"/>
    </mc:Choice>
  </mc:AlternateContent>
  <xr:revisionPtr revIDLastSave="0" documentId="13_ncr:1_{688DF766-88DC-40E7-8F19-7087B596B03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Sheet1!$A$1:$O$19</definedName>
  </definedName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1" l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<sst xmlns="http://schemas.openxmlformats.org/spreadsheetml/2006/main" count="123" uniqueCount="34">
  <si>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</si>
  <si>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</si>
  <si>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</si>
  <si>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</si>
  <si>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</si>
  <si>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</si>
  <si>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</si>
  <si>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</si>
  <si>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</si>
  <si>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G-A06</t>
  </si>
  <si>
    <t>G-A07</t>
  </si>
  <si>
    <t>G-A16</t>
  </si>
  <si>
    <t>G-A16-5G</t>
  </si>
  <si>
    <t>G-A17</t>
  </si>
  <si>
    <t>G-S24-ULTRA</t>
  </si>
  <si>
    <t>G-S25</t>
  </si>
  <si>
    <t>G-S25+</t>
  </si>
  <si>
    <t>G-S25-ULTRA</t>
  </si>
  <si>
    <t>A2S3A0A250000389</t>
  </si>
  <si>
    <t>A0S3A0A250001020</t>
  </si>
  <si>
    <t>VITEL W42-W44 VE Sell-Thru Promotion</t>
  </si>
  <si>
    <t>A2S3A0A250000402</t>
  </si>
  <si>
    <t>A0S3A0A250001051</t>
  </si>
  <si>
    <t>VITEL W43-W44 S25 Ultra OM ST Promo</t>
  </si>
  <si>
    <t>A0S3A0A250001057</t>
  </si>
  <si>
    <t>W43-W44 Vitel Soytechno Sell-Thru Promotion</t>
  </si>
  <si>
    <t>A2S3A0A250000404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</si>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</sst>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8" fontId="0" fillId="4" borderId="1" xfId="0" applyNumberFormat="1" applyFill="1" applyBorder="1"/>
    <xf numFmtId="4" fontId="0" fillId="4" borderId="1" xfId="0" applyNumberFormat="1" applyFill="1" applyBorder="1"/>
    <xf numFmtId="1" fontId="1" fillId="2" borderId="1" xfId="0" applyNumberFormat="1" applyFont="1" applyFill="1" applyBorder="1"/>
    <xf numFmtId="1" fontId="0" fillId="3" borderId="1" xfId="0" applyNumberForma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showGridLines="0" tabSelected="1" zoomScale="160" zoomScaleNormal="160" workbookViewId="0">
      <pane ySplit="1" topLeftCell="A2" activePane="bottomLeft" state="frozen"/>
      <selection pane="bottomLeft" activeCell="F14" sqref="F14"/>
    </sheetView>
  </sheetViews>
  <sheetFormatPr defaultRowHeight="12.75" x14ac:dyDescent="0.2"/>
  <cols>
    <col min="1" max="1" width="20.140625" bestFit="1" customWidth="1"/>
    <col min="2" max="2" width="4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1" bestFit="1" customWidth="1"/>
    <col min="7" max="7" width="10.85546875" bestFit="1" customWidth="1"/>
    <col min="8" max="8" width="14" bestFit="1" customWidth="1"/>
    <col min="9" max="9" width="12.42578125" bestFit="1" customWidth="1"/>
    <col min="10" max="10" width="14" style="9" bestFit="1" customWidth="1"/>
    <col min="11" max="11" width="12.42578125" bestFit="1" customWidth="1"/>
    <col min="12" max="12" width="14" bestFit="1" customWidth="1"/>
    <col min="13" max="13" width="12.42578125" bestFit="1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  <c r="H1" s="1" t="s">
        <v>28</v>
      </c>
      <c r="I1" s="1" t="s">
        <v>29</v>
      </c>
      <c r="J1" s="7" t="s">
        <v>30</v>
      </c>
      <c r="K1" s="1" t="s">
        <v>31</v>
      </c>
      <c r="L1" s="1" t="s">
        <v>32</v>
      </c>
      <c r="M1" s="1" t="s">
        <v>33</v>
      </c>
      <c r="N1" s="1" t="s">
        <v>6</v>
      </c>
      <c r="O1" s="1" t="s">
        <v>7</v>
      </c>
    </row>
    <row r="2" spans="1:15" x14ac:dyDescent="0.2">
      <c r="A2" s="2" t="s">
        <v>19</v>
      </c>
      <c r="B2" s="2" t="s">
        <v>20</v>
      </c>
      <c r="C2" s="2" t="s">
        <v>18</v>
      </c>
      <c r="D2" s="2" t="s">
        <v>8</v>
      </c>
      <c r="E2" s="2" t="s">
        <v>9</v>
      </c>
      <c r="F2" s="2" t="s">
        <v>9</v>
      </c>
      <c r="G2" s="5">
        <v>10</v>
      </c>
      <c r="H2" s="6">
        <v>300</v>
      </c>
      <c r="I2" s="5">
        <v>3000</v>
      </c>
      <c r="J2" s="8">
        <v>0</v>
      </c>
      <c r="K2" s="4">
        <f t="shared" ref="K2:K19" si="0">J2*G2</f>
        <v>0</v>
      </c>
      <c r="L2" s="6">
        <f t="shared" ref="L2:L9" si="1">J2-H2</f>
        <v>-300</v>
      </c>
      <c r="M2" s="5">
        <f t="shared" ref="M2:M9" si="2">K2-I2</f>
        <v>-3000</v>
      </c>
      <c r="N2" s="3">
        <v>45943</v>
      </c>
      <c r="O2" s="3">
        <v>45963</v>
      </c>
    </row>
    <row r="3" spans="1:15" x14ac:dyDescent="0.2">
      <c r="A3" s="2" t="s">
        <v>19</v>
      </c>
      <c r="B3" s="2" t="s">
        <v>20</v>
      </c>
      <c r="C3" s="2" t="s">
        <v>18</v>
      </c>
      <c r="D3" s="2" t="s">
        <v>8</v>
      </c>
      <c r="E3" s="2" t="s">
        <v>10</v>
      </c>
      <c r="F3" s="2" t="s">
        <v>10</v>
      </c>
      <c r="G3" s="5">
        <v>10</v>
      </c>
      <c r="H3" s="6">
        <v>1213</v>
      </c>
      <c r="I3" s="5">
        <v>12130</v>
      </c>
      <c r="J3" s="8">
        <v>1280</v>
      </c>
      <c r="K3" s="4">
        <f t="shared" si="0"/>
        <v>12800</v>
      </c>
      <c r="L3" s="6">
        <f t="shared" si="1"/>
        <v>67</v>
      </c>
      <c r="M3" s="5">
        <f t="shared" si="2"/>
        <v>670</v>
      </c>
      <c r="N3" s="3">
        <v>45943</v>
      </c>
      <c r="O3" s="3">
        <v>45963</v>
      </c>
    </row>
    <row r="4" spans="1:15" x14ac:dyDescent="0.2">
      <c r="A4" s="2" t="s">
        <v>19</v>
      </c>
      <c r="B4" s="2" t="s">
        <v>20</v>
      </c>
      <c r="C4" s="2" t="s">
        <v>18</v>
      </c>
      <c r="D4" s="2" t="s">
        <v>8</v>
      </c>
      <c r="E4" s="2" t="s">
        <v>11</v>
      </c>
      <c r="F4" s="2" t="s">
        <v>11</v>
      </c>
      <c r="G4" s="5">
        <v>10</v>
      </c>
      <c r="H4" s="6">
        <v>5270</v>
      </c>
      <c r="I4" s="5">
        <v>52700</v>
      </c>
      <c r="J4" s="8">
        <v>2570</v>
      </c>
      <c r="K4" s="4">
        <f t="shared" si="0"/>
        <v>25700</v>
      </c>
      <c r="L4" s="6">
        <f t="shared" si="1"/>
        <v>-2700</v>
      </c>
      <c r="M4" s="5">
        <f t="shared" si="2"/>
        <v>-27000</v>
      </c>
      <c r="N4" s="3">
        <v>45943</v>
      </c>
      <c r="O4" s="3">
        <v>45963</v>
      </c>
    </row>
    <row r="5" spans="1:15" x14ac:dyDescent="0.2">
      <c r="A5" s="2" t="s">
        <v>19</v>
      </c>
      <c r="B5" s="2" t="s">
        <v>20</v>
      </c>
      <c r="C5" s="2" t="s">
        <v>18</v>
      </c>
      <c r="D5" s="2" t="s">
        <v>8</v>
      </c>
      <c r="E5" s="2" t="s">
        <v>12</v>
      </c>
      <c r="F5" s="2" t="s">
        <v>12</v>
      </c>
      <c r="G5" s="5">
        <v>5</v>
      </c>
      <c r="H5" s="6">
        <v>1</v>
      </c>
      <c r="I5" s="5">
        <v>5</v>
      </c>
      <c r="J5" s="8">
        <v>0</v>
      </c>
      <c r="K5" s="4">
        <f t="shared" si="0"/>
        <v>0</v>
      </c>
      <c r="L5" s="6">
        <f t="shared" si="1"/>
        <v>-1</v>
      </c>
      <c r="M5" s="5">
        <f t="shared" si="2"/>
        <v>-5</v>
      </c>
      <c r="N5" s="3">
        <v>45943</v>
      </c>
      <c r="O5" s="3">
        <v>45963</v>
      </c>
    </row>
    <row r="6" spans="1:15" x14ac:dyDescent="0.2">
      <c r="A6" s="2" t="s">
        <v>19</v>
      </c>
      <c r="B6" s="2" t="s">
        <v>20</v>
      </c>
      <c r="C6" s="2" t="s">
        <v>18</v>
      </c>
      <c r="D6" s="2" t="s">
        <v>8</v>
      </c>
      <c r="E6" s="2" t="s">
        <v>13</v>
      </c>
      <c r="F6" s="2" t="s">
        <v>13</v>
      </c>
      <c r="G6" s="5">
        <v>10</v>
      </c>
      <c r="H6" s="6">
        <v>2321</v>
      </c>
      <c r="I6" s="5">
        <v>23210</v>
      </c>
      <c r="J6" s="8">
        <v>480</v>
      </c>
      <c r="K6" s="4">
        <f t="shared" si="0"/>
        <v>4800</v>
      </c>
      <c r="L6" s="6">
        <f t="shared" si="1"/>
        <v>-1841</v>
      </c>
      <c r="M6" s="5">
        <f t="shared" si="2"/>
        <v>-18410</v>
      </c>
      <c r="N6" s="3">
        <v>45943</v>
      </c>
      <c r="O6" s="3">
        <v>45963</v>
      </c>
    </row>
    <row r="7" spans="1:15" x14ac:dyDescent="0.2">
      <c r="A7" s="2" t="s">
        <v>19</v>
      </c>
      <c r="B7" s="2" t="s">
        <v>20</v>
      </c>
      <c r="C7" s="2" t="s">
        <v>18</v>
      </c>
      <c r="D7" s="2" t="s">
        <v>8</v>
      </c>
      <c r="E7" s="2" t="s">
        <v>15</v>
      </c>
      <c r="F7" s="2" t="s">
        <v>15</v>
      </c>
      <c r="G7" s="5">
        <v>30</v>
      </c>
      <c r="H7" s="6">
        <v>128</v>
      </c>
      <c r="I7" s="5">
        <v>3840</v>
      </c>
      <c r="J7" s="8">
        <v>104</v>
      </c>
      <c r="K7" s="4">
        <f t="shared" si="0"/>
        <v>3120</v>
      </c>
      <c r="L7" s="6">
        <f t="shared" si="1"/>
        <v>-24</v>
      </c>
      <c r="M7" s="5">
        <f t="shared" si="2"/>
        <v>-720</v>
      </c>
      <c r="N7" s="3">
        <v>45943</v>
      </c>
      <c r="O7" s="3">
        <v>45963</v>
      </c>
    </row>
    <row r="8" spans="1:15" x14ac:dyDescent="0.2">
      <c r="A8" s="2" t="s">
        <v>19</v>
      </c>
      <c r="B8" s="2" t="s">
        <v>20</v>
      </c>
      <c r="C8" s="2" t="s">
        <v>18</v>
      </c>
      <c r="D8" s="2" t="s">
        <v>8</v>
      </c>
      <c r="E8" s="2" t="s">
        <v>16</v>
      </c>
      <c r="F8" s="2" t="s">
        <v>16</v>
      </c>
      <c r="G8" s="5">
        <v>30</v>
      </c>
      <c r="H8" s="6">
        <v>82</v>
      </c>
      <c r="I8" s="5">
        <v>2460</v>
      </c>
      <c r="J8" s="8">
        <v>81</v>
      </c>
      <c r="K8" s="4">
        <f t="shared" si="0"/>
        <v>2430</v>
      </c>
      <c r="L8" s="6">
        <f t="shared" si="1"/>
        <v>-1</v>
      </c>
      <c r="M8" s="5">
        <f t="shared" si="2"/>
        <v>-30</v>
      </c>
      <c r="N8" s="3">
        <v>45943</v>
      </c>
      <c r="O8" s="3">
        <v>45963</v>
      </c>
    </row>
    <row r="9" spans="1:15" x14ac:dyDescent="0.2">
      <c r="A9" s="2" t="s">
        <v>19</v>
      </c>
      <c r="B9" s="2" t="s">
        <v>20</v>
      </c>
      <c r="C9" s="2" t="s">
        <v>18</v>
      </c>
      <c r="D9" s="2" t="s">
        <v>8</v>
      </c>
      <c r="E9" s="2" t="s">
        <v>17</v>
      </c>
      <c r="F9" s="2" t="s">
        <v>17</v>
      </c>
      <c r="G9" s="5">
        <v>80</v>
      </c>
      <c r="H9" s="6">
        <v>813</v>
      </c>
      <c r="I9" s="5">
        <v>65040</v>
      </c>
      <c r="J9" s="8">
        <v>361</v>
      </c>
      <c r="K9" s="4">
        <f t="shared" si="0"/>
        <v>28880</v>
      </c>
      <c r="L9" s="6">
        <f t="shared" si="1"/>
        <v>-452</v>
      </c>
      <c r="M9" s="5">
        <f t="shared" si="2"/>
        <v>-36160</v>
      </c>
      <c r="N9" s="3">
        <v>45943</v>
      </c>
      <c r="O9" s="3">
        <v>45963</v>
      </c>
    </row>
    <row r="10" spans="1:15" x14ac:dyDescent="0.2">
      <c r="A10" s="2" t="s">
        <v>22</v>
      </c>
      <c r="B10" s="2" t="s">
        <v>23</v>
      </c>
      <c r="C10" s="2" t="s">
        <v>21</v>
      </c>
      <c r="D10" s="2" t="s">
        <v>8</v>
      </c>
      <c r="E10" s="2" t="s">
        <v>17</v>
      </c>
      <c r="F10" s="2" t="s">
        <v>17</v>
      </c>
      <c r="G10" s="5">
        <v>50</v>
      </c>
      <c r="H10" s="6">
        <v>3259</v>
      </c>
      <c r="I10" s="5">
        <v>162950</v>
      </c>
      <c r="J10" s="8">
        <v>3016</v>
      </c>
      <c r="K10" s="4">
        <f t="shared" si="0"/>
        <v>150800</v>
      </c>
      <c r="L10" s="6">
        <f t="shared" ref="L10:L19" si="3">J10-H10</f>
        <v>-243</v>
      </c>
      <c r="M10" s="5">
        <f t="shared" ref="M10:M19" si="4">K10-I10</f>
        <v>-12150</v>
      </c>
      <c r="N10" s="3">
        <v>45950</v>
      </c>
      <c r="O10" s="3">
        <v>45963</v>
      </c>
    </row>
    <row r="11" spans="1:15" x14ac:dyDescent="0.2">
      <c r="A11" s="2" t="s">
        <v>24</v>
      </c>
      <c r="B11" s="2" t="s">
        <v>25</v>
      </c>
      <c r="C11" s="2" t="s">
        <v>26</v>
      </c>
      <c r="D11" s="2" t="s">
        <v>8</v>
      </c>
      <c r="E11" s="2" t="s">
        <v>9</v>
      </c>
      <c r="F11" s="2" t="s">
        <v>9</v>
      </c>
      <c r="G11" s="5">
        <v>10</v>
      </c>
      <c r="H11" s="6">
        <v>576</v>
      </c>
      <c r="I11" s="5">
        <v>5760</v>
      </c>
      <c r="J11" s="8">
        <v>1100</v>
      </c>
      <c r="K11" s="4">
        <f t="shared" si="0"/>
        <v>11000</v>
      </c>
      <c r="L11" s="6">
        <f t="shared" si="3"/>
        <v>524</v>
      </c>
      <c r="M11" s="5">
        <f t="shared" si="4"/>
        <v>5240</v>
      </c>
      <c r="N11" s="3">
        <v>45950</v>
      </c>
      <c r="O11" s="3">
        <v>45963</v>
      </c>
    </row>
    <row r="12" spans="1:15" x14ac:dyDescent="0.2">
      <c r="A12" s="2" t="s">
        <v>24</v>
      </c>
      <c r="B12" s="2" t="s">
        <v>25</v>
      </c>
      <c r="C12" s="2" t="s">
        <v>26</v>
      </c>
      <c r="D12" s="2" t="s">
        <v>8</v>
      </c>
      <c r="E12" s="2" t="s">
        <v>10</v>
      </c>
      <c r="F12" s="2" t="s">
        <v>10</v>
      </c>
      <c r="G12" s="5">
        <v>10</v>
      </c>
      <c r="H12" s="6">
        <v>1768</v>
      </c>
      <c r="I12" s="5">
        <v>17680</v>
      </c>
      <c r="J12" s="8">
        <v>300</v>
      </c>
      <c r="K12" s="4">
        <f t="shared" si="0"/>
        <v>3000</v>
      </c>
      <c r="L12" s="6">
        <f t="shared" si="3"/>
        <v>-1468</v>
      </c>
      <c r="M12" s="5">
        <f t="shared" si="4"/>
        <v>-14680</v>
      </c>
      <c r="N12" s="3">
        <v>45950</v>
      </c>
      <c r="O12" s="3">
        <v>45963</v>
      </c>
    </row>
    <row r="13" spans="1:15" x14ac:dyDescent="0.2">
      <c r="A13" s="2" t="s">
        <v>24</v>
      </c>
      <c r="B13" s="2" t="s">
        <v>25</v>
      </c>
      <c r="C13" s="2" t="s">
        <v>26</v>
      </c>
      <c r="D13" s="2" t="s">
        <v>8</v>
      </c>
      <c r="E13" s="2" t="s">
        <v>11</v>
      </c>
      <c r="F13" s="2" t="s">
        <v>11</v>
      </c>
      <c r="G13" s="5">
        <v>10</v>
      </c>
      <c r="H13" s="6">
        <v>2241</v>
      </c>
      <c r="I13" s="5">
        <v>22410</v>
      </c>
      <c r="J13" s="8">
        <v>2200</v>
      </c>
      <c r="K13" s="4">
        <f t="shared" si="0"/>
        <v>22000</v>
      </c>
      <c r="L13" s="6">
        <f t="shared" si="3"/>
        <v>-41</v>
      </c>
      <c r="M13" s="5">
        <f t="shared" si="4"/>
        <v>-410</v>
      </c>
      <c r="N13" s="3">
        <v>45950</v>
      </c>
      <c r="O13" s="3">
        <v>45963</v>
      </c>
    </row>
    <row r="14" spans="1:15" x14ac:dyDescent="0.2">
      <c r="A14" s="2" t="s">
        <v>24</v>
      </c>
      <c r="B14" s="2" t="s">
        <v>25</v>
      </c>
      <c r="C14" s="2" t="s">
        <v>26</v>
      </c>
      <c r="D14" s="2" t="s">
        <v>8</v>
      </c>
      <c r="E14" s="2" t="s">
        <v>12</v>
      </c>
      <c r="F14" s="2" t="s">
        <v>12</v>
      </c>
      <c r="G14" s="5">
        <v>5</v>
      </c>
      <c r="H14" s="6">
        <v>250</v>
      </c>
      <c r="I14" s="5">
        <v>1250</v>
      </c>
      <c r="J14" s="8">
        <v>0</v>
      </c>
      <c r="K14" s="4">
        <f t="shared" si="0"/>
        <v>0</v>
      </c>
      <c r="L14" s="6">
        <f t="shared" si="3"/>
        <v>-250</v>
      </c>
      <c r="M14" s="5">
        <f t="shared" si="4"/>
        <v>-1250</v>
      </c>
      <c r="N14" s="3">
        <v>45950</v>
      </c>
      <c r="O14" s="3">
        <v>45963</v>
      </c>
    </row>
    <row r="15" spans="1:15" x14ac:dyDescent="0.2">
      <c r="A15" s="2" t="s">
        <v>24</v>
      </c>
      <c r="B15" s="2" t="s">
        <v>25</v>
      </c>
      <c r="C15" s="2" t="s">
        <v>26</v>
      </c>
      <c r="D15" s="2" t="s">
        <v>8</v>
      </c>
      <c r="E15" s="2" t="s">
        <v>13</v>
      </c>
      <c r="F15" s="2" t="s">
        <v>13</v>
      </c>
      <c r="G15" s="5">
        <v>10</v>
      </c>
      <c r="H15" s="6">
        <v>1089</v>
      </c>
      <c r="I15" s="5">
        <v>10890</v>
      </c>
      <c r="J15" s="8">
        <v>100</v>
      </c>
      <c r="K15" s="4">
        <f t="shared" si="0"/>
        <v>1000</v>
      </c>
      <c r="L15" s="6">
        <f t="shared" si="3"/>
        <v>-989</v>
      </c>
      <c r="M15" s="5">
        <f t="shared" si="4"/>
        <v>-9890</v>
      </c>
      <c r="N15" s="3">
        <v>45950</v>
      </c>
      <c r="O15" s="3">
        <v>45963</v>
      </c>
    </row>
    <row r="16" spans="1:15" x14ac:dyDescent="0.2">
      <c r="A16" s="2" t="s">
        <v>24</v>
      </c>
      <c r="B16" s="2" t="s">
        <v>25</v>
      </c>
      <c r="C16" s="2" t="s">
        <v>26</v>
      </c>
      <c r="D16" s="2" t="s">
        <v>8</v>
      </c>
      <c r="E16" s="2" t="s">
        <v>14</v>
      </c>
      <c r="F16" s="2" t="s">
        <v>14</v>
      </c>
      <c r="G16" s="5">
        <v>30</v>
      </c>
      <c r="H16" s="6">
        <v>65</v>
      </c>
      <c r="I16" s="5">
        <v>1950</v>
      </c>
      <c r="J16" s="8">
        <v>0</v>
      </c>
      <c r="K16" s="4">
        <f t="shared" si="0"/>
        <v>0</v>
      </c>
      <c r="L16" s="6">
        <f t="shared" si="3"/>
        <v>-65</v>
      </c>
      <c r="M16" s="5">
        <f t="shared" si="4"/>
        <v>-1950</v>
      </c>
      <c r="N16" s="3">
        <v>45950</v>
      </c>
      <c r="O16" s="3">
        <v>45963</v>
      </c>
    </row>
    <row r="17" spans="1:15" x14ac:dyDescent="0.2">
      <c r="A17" s="2" t="s">
        <v>24</v>
      </c>
      <c r="B17" s="2" t="s">
        <v>25</v>
      </c>
      <c r="C17" s="2" t="s">
        <v>26</v>
      </c>
      <c r="D17" s="2" t="s">
        <v>8</v>
      </c>
      <c r="E17" s="2" t="s">
        <v>15</v>
      </c>
      <c r="F17" s="2" t="s">
        <v>15</v>
      </c>
      <c r="G17" s="5">
        <v>30</v>
      </c>
      <c r="H17" s="6">
        <v>67</v>
      </c>
      <c r="I17" s="5">
        <v>2010</v>
      </c>
      <c r="J17" s="8">
        <v>0</v>
      </c>
      <c r="K17" s="4">
        <f t="shared" si="0"/>
        <v>0</v>
      </c>
      <c r="L17" s="6">
        <f t="shared" si="3"/>
        <v>-67</v>
      </c>
      <c r="M17" s="5">
        <f t="shared" si="4"/>
        <v>-2010</v>
      </c>
      <c r="N17" s="3">
        <v>45950</v>
      </c>
      <c r="O17" s="3">
        <v>45963</v>
      </c>
    </row>
    <row r="18" spans="1:15" x14ac:dyDescent="0.2">
      <c r="A18" s="2" t="s">
        <v>24</v>
      </c>
      <c r="B18" s="2" t="s">
        <v>25</v>
      </c>
      <c r="C18" s="2" t="s">
        <v>26</v>
      </c>
      <c r="D18" s="2" t="s">
        <v>8</v>
      </c>
      <c r="E18" s="2" t="s">
        <v>16</v>
      </c>
      <c r="F18" s="2" t="s">
        <v>16</v>
      </c>
      <c r="G18" s="5">
        <v>30</v>
      </c>
      <c r="H18" s="6">
        <v>53</v>
      </c>
      <c r="I18" s="5">
        <v>1590</v>
      </c>
      <c r="J18" s="8">
        <v>0</v>
      </c>
      <c r="K18" s="4">
        <f t="shared" si="0"/>
        <v>0</v>
      </c>
      <c r="L18" s="6">
        <f t="shared" si="3"/>
        <v>-53</v>
      </c>
      <c r="M18" s="5">
        <f t="shared" si="4"/>
        <v>-1590</v>
      </c>
      <c r="N18" s="3">
        <v>45950</v>
      </c>
      <c r="O18" s="3">
        <v>45963</v>
      </c>
    </row>
    <row r="19" spans="1:15" x14ac:dyDescent="0.2">
      <c r="A19" s="2" t="s">
        <v>24</v>
      </c>
      <c r="B19" s="2" t="s">
        <v>25</v>
      </c>
      <c r="C19" s="2" t="s">
        <v>26</v>
      </c>
      <c r="D19" s="2" t="s">
        <v>8</v>
      </c>
      <c r="E19" s="2" t="s">
        <v>17</v>
      </c>
      <c r="F19" s="2" t="s">
        <v>17</v>
      </c>
      <c r="G19" s="5">
        <v>80</v>
      </c>
      <c r="H19" s="6">
        <v>330</v>
      </c>
      <c r="I19" s="5">
        <v>26400</v>
      </c>
      <c r="J19" s="8">
        <v>120</v>
      </c>
      <c r="K19" s="4">
        <f t="shared" si="0"/>
        <v>9600</v>
      </c>
      <c r="L19" s="6">
        <f t="shared" si="3"/>
        <v>-210</v>
      </c>
      <c r="M19" s="5">
        <f t="shared" si="4"/>
        <v>-16800</v>
      </c>
      <c r="N19" s="3">
        <v>45950</v>
      </c>
      <c r="O19" s="3">
        <v>45963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2025-10-23T15:42:19Z</dcterms:created>
  <dcterms:modified xsi:type="dcterms:W3CDTF">2025-10-30T20:51:31Z</dcterms:modified>
  <cp:category/>
</cp:coreProperties>
</file>