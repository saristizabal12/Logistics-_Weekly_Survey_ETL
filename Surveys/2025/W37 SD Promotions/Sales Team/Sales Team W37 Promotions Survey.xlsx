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7 SD Promotions\Sales Team\"/>
    </mc:Choice>
  </mc:AlternateContent>
  <xr:revisionPtr revIDLastSave="0" documentId="13_ncr:1_{D6BC30F1-2866-4033-9C15-22FE6591042F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today" sheetId="9" r:id="rId1"/>
    <sheet name="Additional Sales" sheetId="10" r:id="rId2"/>
  </sheets>
  <definedNames>
    <definedName name="_xlnm._FilterDatabase" localSheetId="0" hidden="1">'AS of today'!$A$1:$N$23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9" l="1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Q2" i="9" s="1"/>
  <c r="Q7" i="9" l="1"/>
  <c r="Q6" i="9"/>
  <c r="Q5" i="9"/>
  <c r="Q4" i="9"/>
  <c r="Q3" i="9"/>
  <c r="J12" i="9"/>
  <c r="K12" i="9" s="1"/>
  <c r="J11" i="9"/>
  <c r="K11" i="9" s="1"/>
  <c r="J8" i="9"/>
  <c r="K8" i="9" s="1"/>
  <c r="J7" i="9"/>
  <c r="K7" i="9" s="1"/>
  <c r="J6" i="9"/>
  <c r="K6" i="9" s="1"/>
  <c r="J5" i="9"/>
  <c r="L5" i="9" s="1"/>
  <c r="J4" i="9"/>
  <c r="J3" i="9"/>
  <c r="K3" i="9" s="1"/>
  <c r="J2" i="9"/>
  <c r="K2" i="9" s="1"/>
  <c r="J13" i="9"/>
  <c r="L13" i="9" s="1"/>
  <c r="J14" i="9"/>
  <c r="K14" i="9" s="1"/>
  <c r="J15" i="9"/>
  <c r="L15" i="9" s="1"/>
  <c r="J16" i="9"/>
  <c r="K16" i="9" s="1"/>
  <c r="J17" i="9"/>
  <c r="K17" i="9" s="1"/>
  <c r="J18" i="9"/>
  <c r="L18" i="9" s="1"/>
  <c r="J19" i="9"/>
  <c r="L19" i="9" s="1"/>
  <c r="M19" i="9" s="1"/>
  <c r="N19" i="9" s="1"/>
  <c r="J20" i="9"/>
  <c r="K20" i="9" s="1"/>
  <c r="J21" i="9"/>
  <c r="K21" i="9" s="1"/>
  <c r="J9" i="9"/>
  <c r="L9" i="9" s="1"/>
  <c r="J10" i="9"/>
  <c r="K10" i="9" s="1"/>
  <c r="J22" i="9"/>
  <c r="K22" i="9" s="1"/>
  <c r="J23" i="9"/>
  <c r="L23" i="9" s="1"/>
  <c r="M23" i="9" s="1"/>
  <c r="N23" i="9" s="1"/>
  <c r="G5" i="10"/>
  <c r="G4" i="10"/>
  <c r="G3" i="10"/>
  <c r="G2" i="10"/>
  <c r="L5" i="10"/>
  <c r="L4" i="10"/>
  <c r="L3" i="10"/>
  <c r="L2" i="10"/>
  <c r="K4" i="9" l="1"/>
  <c r="L4" i="9"/>
  <c r="M13" i="9"/>
  <c r="N13" i="9" s="1"/>
  <c r="M9" i="9"/>
  <c r="N9" i="9" s="1"/>
  <c r="M5" i="9"/>
  <c r="N5" i="9" s="1"/>
  <c r="K19" i="9"/>
  <c r="M15" i="9"/>
  <c r="N15" i="9" s="1"/>
  <c r="M18" i="9"/>
  <c r="N18" i="9" s="1"/>
  <c r="K9" i="9"/>
  <c r="L14" i="9"/>
  <c r="M14" i="9" s="1"/>
  <c r="N14" i="9" s="1"/>
  <c r="L7" i="9"/>
  <c r="K15" i="9"/>
  <c r="L12" i="9"/>
  <c r="M12" i="9" s="1"/>
  <c r="N12" i="9" s="1"/>
  <c r="L11" i="9"/>
  <c r="L8" i="9"/>
  <c r="L2" i="9"/>
  <c r="L3" i="9"/>
  <c r="M3" i="9" s="1"/>
  <c r="N3" i="9" s="1"/>
  <c r="K23" i="9"/>
  <c r="K5" i="9"/>
  <c r="M4" i="9"/>
  <c r="N4" i="9" s="1"/>
  <c r="L6" i="9"/>
  <c r="K13" i="9"/>
  <c r="K18" i="9"/>
  <c r="L21" i="9"/>
  <c r="M21" i="9" s="1"/>
  <c r="N21" i="9" s="1"/>
  <c r="L17" i="9"/>
  <c r="L10" i="9"/>
  <c r="M10" i="9" s="1"/>
  <c r="N10" i="9" s="1"/>
  <c r="L16" i="9"/>
  <c r="M16" i="9" s="1"/>
  <c r="N16" i="9" s="1"/>
  <c r="L20" i="9"/>
  <c r="M20" i="9" s="1"/>
  <c r="N20" i="9" s="1"/>
  <c r="L22" i="9"/>
  <c r="R7" i="9" s="1"/>
  <c r="X2" i="9" s="1"/>
  <c r="R6" i="9" l="1"/>
  <c r="W2" i="9" s="1"/>
  <c r="R5" i="9"/>
  <c r="V2" i="9" s="1"/>
  <c r="R3" i="9"/>
  <c r="T2" i="9" s="1"/>
  <c r="R4" i="9"/>
  <c r="U2" i="9" s="1"/>
  <c r="M8" i="9"/>
  <c r="N8" i="9" s="1"/>
  <c r="M11" i="9"/>
  <c r="N11" i="9" s="1"/>
  <c r="M7" i="9"/>
  <c r="N7" i="9" s="1"/>
  <c r="M6" i="9"/>
  <c r="N6" i="9" s="1"/>
  <c r="R2" i="9"/>
  <c r="S2" i="9" s="1"/>
  <c r="M17" i="9"/>
  <c r="N17" i="9" s="1"/>
  <c r="M22" i="9"/>
  <c r="N22" i="9" s="1"/>
  <c r="M2" i="9"/>
  <c r="N2" i="9" s="1"/>
</calcChain>
</file>

<file path=xl/sharedStrings.xml><?xml version="1.0" encoding="utf-8"?>
<sst xmlns="http://schemas.openxmlformats.org/spreadsheetml/2006/main" count="136" uniqueCount="61">
  <si>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</si>
  <si>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</si>
  <si>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</si>
  <si>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</si>
  <si>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</si>
  <si>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</si>
  <si>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</si>
  <si>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</si>
  <si>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</si>
  <si>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</si>
  <si>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</si>
  <si>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</si>
  <si>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</si>
  <si>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Joseph</t>
  </si>
  <si>
    <t>Ricardo</t>
  </si>
  <si>
    <t>Alan</t>
  </si>
  <si>
    <t>Wil</t>
  </si>
  <si>
    <t>Sum of additional orders</t>
  </si>
  <si>
    <t>A0S3A0A250000796</t>
  </si>
  <si>
    <t>A0S3A0A250000809</t>
  </si>
  <si>
    <t>VITEL W32-W34 Watch8 Launching ST Promo</t>
  </si>
  <si>
    <t>VITEL W33-W34 S24 / S24+ OM ST Promo</t>
  </si>
  <si>
    <t>G-WATCH8</t>
  </si>
  <si>
    <t>G-WATCH8-CLASSIC</t>
  </si>
  <si>
    <t>G-S24</t>
  </si>
  <si>
    <t>G-S24+</t>
  </si>
  <si>
    <t>A0S3A0A250000872</t>
  </si>
  <si>
    <t>VITEL W35-W37 (Foldables) ST</t>
  </si>
  <si>
    <t>A0S3A0A250000889</t>
  </si>
  <si>
    <t>VITEL W35-W37 (A56 8+128) OM ST</t>
  </si>
  <si>
    <t>A0S3A0A250000902</t>
  </si>
  <si>
    <t>VITEL W35-W37 (WATCH 8) ST</t>
  </si>
  <si>
    <t>A0S3A0A250000908</t>
  </si>
  <si>
    <t>VITEL W35-W37 VE Sell Thru</t>
  </si>
  <si>
    <t>A0S3A0A250000894</t>
  </si>
  <si>
    <t>VITEL W35-W37 M55 OM ST</t>
  </si>
  <si>
    <t>A0S3A0A250000925</t>
  </si>
  <si>
    <t>VITEL W36-37 S24 / S24+ OM ST Promo</t>
  </si>
  <si>
    <t>G-A06</t>
  </si>
  <si>
    <t>G-A07</t>
  </si>
  <si>
    <t>G-A16</t>
  </si>
  <si>
    <t>G-A17</t>
  </si>
  <si>
    <t>G-A36-5G</t>
  </si>
  <si>
    <t>G-S24-ULTRA</t>
  </si>
  <si>
    <t>G-S25</t>
  </si>
  <si>
    <t>G-S25+</t>
  </si>
  <si>
    <t>G-S25-ULTRA</t>
  </si>
  <si>
    <t>SM-M556BLGMTPA</t>
  </si>
  <si>
    <t>SM-A566ELIATPA</t>
  </si>
  <si>
    <t>SM-A566EZAATPA</t>
  </si>
  <si>
    <t>SM-A566EZGATPA</t>
  </si>
  <si>
    <t>SM-A566EZKATPA</t>
  </si>
  <si>
    <t>0908</t>
  </si>
  <si>
    <t>0902</t>
  </si>
  <si>
    <t>0889</t>
  </si>
  <si>
    <t>0872</t>
  </si>
  <si>
    <t>0894</t>
  </si>
  <si>
    <t>0925</t>
  </si>
  <si>
    <t>G-Z-FLIP7-FE</t>
  </si>
  <si>
    <t>G-Z-FLIP7</t>
  </si>
  <si>
    <t>G-Z-FOLD7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</si>
</sst>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1" fontId="1" fillId="3" borderId="1" xfId="0" applyNumberFormat="1" applyFont="1" applyFill="1" applyBorder="1"/>
    <xf numFmtId="4" fontId="0" fillId="4" borderId="1" xfId="0" applyNumberFormat="1" applyFill="1" applyBorder="1"/>
    <xf numFmtId="2" fontId="1" fillId="2" borderId="1" xfId="0" applyNumberFormat="1" applyFont="1" applyFill="1" applyBorder="1"/>
    <xf numFmtId="2" fontId="0" fillId="0" borderId="0" xfId="0" applyNumberFormat="1"/>
    <xf numFmtId="1" fontId="0" fillId="4" borderId="1" xfId="0" applyNumberFormat="1" applyFill="1" applyBorder="1"/>
    <xf numFmtId="0" fontId="2" fillId="5" borderId="0" xfId="0" quotePrefix="1" applyFont="1" applyFill="1"/>
    <xf numFmtId="8" fontId="0" fillId="3" borderId="1" xfId="1" applyNumberFormat="1" applyFont="1" applyFill="1" applyBorder="1"/>
  </cellXfs>
  <cellStyles count="2">
    <cellStyle name="Currency" xfId="1" builtinId="4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X23"/>
  <sheetViews>
    <sheetView showGridLines="0" tabSelected="1" zoomScale="85" zoomScaleNormal="85" workbookViewId="0">
      <pane ySplit="1" topLeftCell="A2" activePane="bottomLeft" state="frozen"/>
      <selection pane="bottomLeft" activeCell="I7" sqref="I7"/>
    </sheetView>
  </sheetViews>
  <sheetFormatPr defaultRowHeight="18" customHeight="1" x14ac:dyDescent="0.2"/>
  <cols>
    <col min="1" max="1" width="20.140625" bestFit="1" customWidth="1"/>
    <col min="2" max="2" width="44" bestFit="1" customWidth="1"/>
    <col min="3" max="3" width="16" customWidth="1"/>
    <col min="4" max="4" width="27.5703125" bestFit="1" customWidth="1"/>
    <col min="5" max="5" width="8.140625" bestFit="1" customWidth="1"/>
    <col min="6" max="6" width="8.140625" style="20" bestFit="1" customWidth="1"/>
    <col min="7" max="7" width="11.7109375" bestFit="1" customWidth="1"/>
    <col min="8" max="8" width="7.42578125" style="11" bestFit="1" customWidth="1"/>
    <col min="9" max="9" width="7.5703125" bestFit="1" customWidth="1"/>
    <col min="10" max="10" width="4.85546875" bestFit="1" customWidth="1"/>
    <col min="11" max="11" width="9.140625" customWidth="1"/>
    <col min="12" max="12" width="11.7109375" bestFit="1" customWidth="1"/>
    <col min="13" max="13" width="16" bestFit="1" customWidth="1"/>
    <col min="14" max="14" width="11.42578125" style="9" bestFit="1" customWidth="1"/>
    <col min="17" max="17" width="11.42578125" bestFit="1" customWidth="1"/>
    <col min="18" max="18" width="11" bestFit="1" customWidth="1"/>
    <col min="19" max="19" width="11.42578125" bestFit="1" customWidth="1"/>
    <col min="20" max="20" width="11.28515625" bestFit="1" customWidth="1"/>
    <col min="21" max="21" width="11.28515625" customWidth="1"/>
    <col min="22" max="22" width="11.7109375" bestFit="1" customWidth="1"/>
    <col min="23" max="23" width="10.28515625" bestFit="1" customWidth="1"/>
    <col min="24" max="25" width="11.285156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7" t="s">
        <v>12</v>
      </c>
      <c r="S1" s="14" t="s">
        <v>55</v>
      </c>
      <c r="T1" s="15" t="s">
        <v>54</v>
      </c>
      <c r="U1" s="22" t="s">
        <v>56</v>
      </c>
      <c r="V1" s="15" t="s">
        <v>53</v>
      </c>
      <c r="W1" s="22" t="s">
        <v>52</v>
      </c>
      <c r="X1" s="22" t="s">
        <v>57</v>
      </c>
    </row>
    <row r="2" spans="1:24" ht="18" customHeight="1" x14ac:dyDescent="0.2">
      <c r="A2" s="2" t="s">
        <v>26</v>
      </c>
      <c r="B2" s="2" t="s">
        <v>27</v>
      </c>
      <c r="C2" s="2" t="s">
        <v>59</v>
      </c>
      <c r="D2" s="2" t="s">
        <v>59</v>
      </c>
      <c r="E2" s="3">
        <v>80</v>
      </c>
      <c r="F2" s="21">
        <v>176</v>
      </c>
      <c r="G2" s="3">
        <f>E2*F2</f>
        <v>14080</v>
      </c>
      <c r="H2" s="5">
        <v>79</v>
      </c>
      <c r="I2" s="4"/>
      <c r="J2" s="5">
        <f t="shared" ref="J2:J23" si="0">H2+I2</f>
        <v>79</v>
      </c>
      <c r="K2" s="5">
        <f t="shared" ref="K2:K23" si="1">F2-J2</f>
        <v>97</v>
      </c>
      <c r="L2" s="6">
        <f t="shared" ref="L2:L23" si="2">J2*E2</f>
        <v>6320</v>
      </c>
      <c r="M2" s="23">
        <f t="shared" ref="M2:M23" si="3">G2-L2</f>
        <v>7760</v>
      </c>
      <c r="N2" s="8" t="str">
        <f t="shared" ref="N2:N23" si="4">IF(M2&gt;0,"KEEP SELLING", "DO NOT SELL")</f>
        <v>KEEP SELLING</v>
      </c>
      <c r="Q2" s="13">
        <f>SUM(G2:G4)</f>
        <v>38680</v>
      </c>
      <c r="R2" s="12">
        <f>SUM(L2:L4)</f>
        <v>17020</v>
      </c>
      <c r="S2" s="16">
        <f>Q2-R2</f>
        <v>21660</v>
      </c>
      <c r="T2" s="16">
        <f>Q3-R3</f>
        <v>46450</v>
      </c>
      <c r="U2" s="16">
        <f>Q4-R4</f>
        <v>38160</v>
      </c>
      <c r="V2" s="16">
        <f>Q5-R5</f>
        <v>36535</v>
      </c>
      <c r="W2" s="16">
        <f>Q6-R6</f>
        <v>60430</v>
      </c>
      <c r="X2" s="16">
        <f>Q7-R7</f>
        <v>36500</v>
      </c>
    </row>
    <row r="3" spans="1:24" ht="18" customHeight="1" x14ac:dyDescent="0.2">
      <c r="A3" s="2" t="s">
        <v>26</v>
      </c>
      <c r="B3" s="2" t="s">
        <v>27</v>
      </c>
      <c r="C3" s="2" t="s">
        <v>58</v>
      </c>
      <c r="D3" s="2" t="s">
        <v>58</v>
      </c>
      <c r="E3" s="3">
        <v>50</v>
      </c>
      <c r="F3" s="21">
        <v>36</v>
      </c>
      <c r="G3" s="3">
        <f t="shared" ref="G3:G23" si="5">E3*F3</f>
        <v>1800</v>
      </c>
      <c r="H3" s="5"/>
      <c r="I3" s="4"/>
      <c r="J3" s="5">
        <f t="shared" si="0"/>
        <v>0</v>
      </c>
      <c r="K3" s="5">
        <f t="shared" si="1"/>
        <v>36</v>
      </c>
      <c r="L3" s="6">
        <f t="shared" si="2"/>
        <v>0</v>
      </c>
      <c r="M3" s="6">
        <f t="shared" si="3"/>
        <v>1800</v>
      </c>
      <c r="N3" s="8" t="str">
        <f t="shared" si="4"/>
        <v>KEEP SELLING</v>
      </c>
      <c r="Q3" s="13">
        <f>SUM(G5:G8)</f>
        <v>108000</v>
      </c>
      <c r="R3" s="12">
        <f>SUM(L5:L8)</f>
        <v>61550</v>
      </c>
    </row>
    <row r="4" spans="1:24" ht="18" customHeight="1" x14ac:dyDescent="0.2">
      <c r="A4" s="2" t="s">
        <v>26</v>
      </c>
      <c r="B4" s="2" t="s">
        <v>27</v>
      </c>
      <c r="C4" s="2" t="s">
        <v>60</v>
      </c>
      <c r="D4" s="2" t="s">
        <v>60</v>
      </c>
      <c r="E4" s="3">
        <v>100</v>
      </c>
      <c r="F4" s="21">
        <v>228</v>
      </c>
      <c r="G4" s="3">
        <f t="shared" si="5"/>
        <v>22800</v>
      </c>
      <c r="H4" s="5">
        <v>66</v>
      </c>
      <c r="I4" s="4">
        <v>41</v>
      </c>
      <c r="J4" s="5">
        <f t="shared" si="0"/>
        <v>107</v>
      </c>
      <c r="K4" s="5">
        <f t="shared" si="1"/>
        <v>121</v>
      </c>
      <c r="L4" s="6">
        <f t="shared" si="2"/>
        <v>10700</v>
      </c>
      <c r="M4" s="6">
        <f t="shared" si="3"/>
        <v>12100</v>
      </c>
      <c r="N4" s="8" t="str">
        <f t="shared" si="4"/>
        <v>KEEP SELLING</v>
      </c>
      <c r="Q4" s="13">
        <f>SUM(G9:G10)</f>
        <v>38160</v>
      </c>
      <c r="R4" s="12">
        <f>SUM(L9:L10)</f>
        <v>0</v>
      </c>
    </row>
    <row r="5" spans="1:24" ht="18" customHeight="1" x14ac:dyDescent="0.2">
      <c r="A5" s="2" t="s">
        <v>28</v>
      </c>
      <c r="B5" s="2" t="s">
        <v>29</v>
      </c>
      <c r="C5" s="2" t="s">
        <v>48</v>
      </c>
      <c r="D5" s="2" t="s">
        <v>48</v>
      </c>
      <c r="E5" s="3">
        <v>50</v>
      </c>
      <c r="F5" s="21">
        <v>1</v>
      </c>
      <c r="G5" s="3">
        <f t="shared" si="5"/>
        <v>50</v>
      </c>
      <c r="H5" s="5"/>
      <c r="I5" s="4"/>
      <c r="J5" s="5">
        <f t="shared" si="0"/>
        <v>0</v>
      </c>
      <c r="K5" s="5">
        <f t="shared" si="1"/>
        <v>1</v>
      </c>
      <c r="L5" s="6">
        <f t="shared" si="2"/>
        <v>0</v>
      </c>
      <c r="M5" s="6">
        <f t="shared" si="3"/>
        <v>50</v>
      </c>
      <c r="N5" s="8" t="str">
        <f t="shared" si="4"/>
        <v>KEEP SELLING</v>
      </c>
      <c r="Q5" s="13">
        <f>SUM(G11:G12)</f>
        <v>105000</v>
      </c>
      <c r="R5" s="12">
        <f>SUM(L11:L12)</f>
        <v>68465</v>
      </c>
    </row>
    <row r="6" spans="1:24" ht="18" customHeight="1" x14ac:dyDescent="0.2">
      <c r="A6" s="2" t="s">
        <v>28</v>
      </c>
      <c r="B6" s="2" t="s">
        <v>29</v>
      </c>
      <c r="C6" s="2" t="s">
        <v>49</v>
      </c>
      <c r="D6" s="2" t="s">
        <v>49</v>
      </c>
      <c r="E6" s="3">
        <v>50</v>
      </c>
      <c r="F6" s="21">
        <v>686</v>
      </c>
      <c r="G6" s="3">
        <f t="shared" si="5"/>
        <v>34300</v>
      </c>
      <c r="H6" s="5">
        <v>305</v>
      </c>
      <c r="I6" s="4">
        <v>12</v>
      </c>
      <c r="J6" s="5">
        <f t="shared" si="0"/>
        <v>317</v>
      </c>
      <c r="K6" s="5">
        <f t="shared" si="1"/>
        <v>369</v>
      </c>
      <c r="L6" s="6">
        <f t="shared" si="2"/>
        <v>15850</v>
      </c>
      <c r="M6" s="6">
        <f t="shared" si="3"/>
        <v>18450</v>
      </c>
      <c r="N6" s="8" t="str">
        <f t="shared" si="4"/>
        <v>KEEP SELLING</v>
      </c>
      <c r="Q6" s="13">
        <f>SUM(G13:G21)</f>
        <v>157460</v>
      </c>
      <c r="R6" s="12">
        <f>SUM(L13:L21)</f>
        <v>97030</v>
      </c>
    </row>
    <row r="7" spans="1:24" ht="18" customHeight="1" x14ac:dyDescent="0.2">
      <c r="A7" s="2" t="s">
        <v>28</v>
      </c>
      <c r="B7" s="2" t="s">
        <v>29</v>
      </c>
      <c r="C7" s="2" t="s">
        <v>50</v>
      </c>
      <c r="D7" s="2" t="s">
        <v>50</v>
      </c>
      <c r="E7" s="3">
        <v>50</v>
      </c>
      <c r="F7" s="21">
        <v>788</v>
      </c>
      <c r="G7" s="3">
        <f t="shared" si="5"/>
        <v>39400</v>
      </c>
      <c r="H7" s="5">
        <v>265</v>
      </c>
      <c r="I7" s="4">
        <v>303</v>
      </c>
      <c r="J7" s="5">
        <f t="shared" si="0"/>
        <v>568</v>
      </c>
      <c r="K7" s="5">
        <f t="shared" si="1"/>
        <v>220</v>
      </c>
      <c r="L7" s="6">
        <f t="shared" si="2"/>
        <v>28400</v>
      </c>
      <c r="M7" s="6">
        <f t="shared" si="3"/>
        <v>11000</v>
      </c>
      <c r="N7" s="8" t="str">
        <f t="shared" si="4"/>
        <v>KEEP SELLING</v>
      </c>
      <c r="Q7" s="13">
        <f>SUM(G22:G23)</f>
        <v>112200</v>
      </c>
      <c r="R7" s="12">
        <f>SUM(L22:L23)</f>
        <v>75700</v>
      </c>
    </row>
    <row r="8" spans="1:24" ht="18" customHeight="1" x14ac:dyDescent="0.2">
      <c r="A8" s="2" t="s">
        <v>28</v>
      </c>
      <c r="B8" s="2" t="s">
        <v>29</v>
      </c>
      <c r="C8" s="2" t="s">
        <v>51</v>
      </c>
      <c r="D8" s="2" t="s">
        <v>51</v>
      </c>
      <c r="E8" s="3">
        <v>50</v>
      </c>
      <c r="F8" s="21">
        <v>685</v>
      </c>
      <c r="G8" s="3">
        <f t="shared" si="5"/>
        <v>34250</v>
      </c>
      <c r="H8" s="5">
        <v>321</v>
      </c>
      <c r="I8" s="4">
        <v>25</v>
      </c>
      <c r="J8" s="5">
        <f t="shared" si="0"/>
        <v>346</v>
      </c>
      <c r="K8" s="5">
        <f t="shared" si="1"/>
        <v>339</v>
      </c>
      <c r="L8" s="6">
        <f t="shared" si="2"/>
        <v>17300</v>
      </c>
      <c r="M8" s="6">
        <f t="shared" si="3"/>
        <v>16950</v>
      </c>
      <c r="N8" s="8" t="str">
        <f t="shared" si="4"/>
        <v>KEEP SELLING</v>
      </c>
    </row>
    <row r="9" spans="1:24" ht="18" customHeight="1" x14ac:dyDescent="0.2">
      <c r="A9" s="2" t="s">
        <v>34</v>
      </c>
      <c r="B9" s="2" t="s">
        <v>35</v>
      </c>
      <c r="C9" s="2" t="s">
        <v>47</v>
      </c>
      <c r="D9" s="2" t="s">
        <v>47</v>
      </c>
      <c r="E9" s="3">
        <v>36</v>
      </c>
      <c r="F9" s="21">
        <v>500</v>
      </c>
      <c r="G9" s="3">
        <f t="shared" si="5"/>
        <v>18000</v>
      </c>
      <c r="H9" s="5"/>
      <c r="I9" s="4"/>
      <c r="J9" s="5">
        <f t="shared" si="0"/>
        <v>0</v>
      </c>
      <c r="K9" s="5">
        <f t="shared" si="1"/>
        <v>500</v>
      </c>
      <c r="L9" s="6">
        <f t="shared" si="2"/>
        <v>0</v>
      </c>
      <c r="M9" s="6">
        <f t="shared" si="3"/>
        <v>18000</v>
      </c>
      <c r="N9" s="8" t="str">
        <f t="shared" si="4"/>
        <v>KEEP SELLING</v>
      </c>
    </row>
    <row r="10" spans="1:24" ht="18" customHeight="1" x14ac:dyDescent="0.2">
      <c r="A10" s="2" t="s">
        <v>34</v>
      </c>
      <c r="B10" s="2" t="s">
        <v>35</v>
      </c>
      <c r="C10" s="2" t="s">
        <v>47</v>
      </c>
      <c r="D10" s="2" t="s">
        <v>47</v>
      </c>
      <c r="E10" s="3">
        <v>36</v>
      </c>
      <c r="F10" s="21">
        <v>560</v>
      </c>
      <c r="G10" s="3">
        <f t="shared" si="5"/>
        <v>20160</v>
      </c>
      <c r="H10" s="5"/>
      <c r="I10" s="4"/>
      <c r="J10" s="5">
        <f t="shared" si="0"/>
        <v>0</v>
      </c>
      <c r="K10" s="5">
        <f t="shared" si="1"/>
        <v>560</v>
      </c>
      <c r="L10" s="6">
        <f t="shared" si="2"/>
        <v>0</v>
      </c>
      <c r="M10" s="6">
        <f t="shared" si="3"/>
        <v>20160</v>
      </c>
      <c r="N10" s="8" t="str">
        <f t="shared" si="4"/>
        <v>KEEP SELLING</v>
      </c>
    </row>
    <row r="11" spans="1:24" ht="18" customHeight="1" x14ac:dyDescent="0.2">
      <c r="A11" s="2" t="s">
        <v>30</v>
      </c>
      <c r="B11" s="2" t="s">
        <v>31</v>
      </c>
      <c r="C11" s="2" t="s">
        <v>22</v>
      </c>
      <c r="D11" s="2" t="s">
        <v>22</v>
      </c>
      <c r="E11" s="3">
        <v>43</v>
      </c>
      <c r="F11" s="21">
        <v>1260</v>
      </c>
      <c r="G11" s="3">
        <f t="shared" si="5"/>
        <v>54180</v>
      </c>
      <c r="H11" s="5">
        <v>594</v>
      </c>
      <c r="I11" s="4">
        <v>76</v>
      </c>
      <c r="J11" s="5">
        <f t="shared" si="0"/>
        <v>670</v>
      </c>
      <c r="K11" s="5">
        <f t="shared" si="1"/>
        <v>590</v>
      </c>
      <c r="L11" s="6">
        <f t="shared" si="2"/>
        <v>28810</v>
      </c>
      <c r="M11" s="6">
        <f t="shared" si="3"/>
        <v>25370</v>
      </c>
      <c r="N11" s="8" t="str">
        <f t="shared" si="4"/>
        <v>KEEP SELLING</v>
      </c>
    </row>
    <row r="12" spans="1:24" ht="30" customHeight="1" x14ac:dyDescent="0.2">
      <c r="A12" s="2" t="s">
        <v>30</v>
      </c>
      <c r="B12" s="2" t="s">
        <v>31</v>
      </c>
      <c r="C12" s="2" t="s">
        <v>23</v>
      </c>
      <c r="D12" s="2" t="s">
        <v>23</v>
      </c>
      <c r="E12" s="3">
        <v>77</v>
      </c>
      <c r="F12" s="21">
        <v>660</v>
      </c>
      <c r="G12" s="3">
        <f t="shared" si="5"/>
        <v>50820</v>
      </c>
      <c r="H12" s="5">
        <v>493</v>
      </c>
      <c r="I12" s="4">
        <v>22</v>
      </c>
      <c r="J12" s="5">
        <f t="shared" si="0"/>
        <v>515</v>
      </c>
      <c r="K12" s="5">
        <f t="shared" si="1"/>
        <v>145</v>
      </c>
      <c r="L12" s="6">
        <f t="shared" si="2"/>
        <v>39655</v>
      </c>
      <c r="M12" s="6">
        <f t="shared" si="3"/>
        <v>11165</v>
      </c>
      <c r="N12" s="8" t="str">
        <f t="shared" si="4"/>
        <v>KEEP SELLING</v>
      </c>
    </row>
    <row r="13" spans="1:24" ht="18" customHeight="1" x14ac:dyDescent="0.2">
      <c r="A13" s="2" t="s">
        <v>32</v>
      </c>
      <c r="B13" s="2" t="s">
        <v>33</v>
      </c>
      <c r="C13" s="2" t="s">
        <v>38</v>
      </c>
      <c r="D13" s="2" t="s">
        <v>38</v>
      </c>
      <c r="E13" s="3">
        <v>10</v>
      </c>
      <c r="F13" s="21">
        <v>380</v>
      </c>
      <c r="G13" s="3">
        <f t="shared" si="5"/>
        <v>3800</v>
      </c>
      <c r="H13" s="5">
        <v>460</v>
      </c>
      <c r="I13" s="4">
        <v>480</v>
      </c>
      <c r="J13" s="5">
        <f t="shared" si="0"/>
        <v>940</v>
      </c>
      <c r="K13" s="5">
        <f t="shared" si="1"/>
        <v>-560</v>
      </c>
      <c r="L13" s="6">
        <f t="shared" si="2"/>
        <v>9400</v>
      </c>
      <c r="M13" s="6">
        <f t="shared" si="3"/>
        <v>-5600</v>
      </c>
      <c r="N13" s="8" t="str">
        <f t="shared" si="4"/>
        <v>DO NOT SELL</v>
      </c>
    </row>
    <row r="14" spans="1:24" ht="23.25" customHeight="1" x14ac:dyDescent="0.2">
      <c r="A14" s="2" t="s">
        <v>32</v>
      </c>
      <c r="B14" s="2" t="s">
        <v>33</v>
      </c>
      <c r="C14" s="2" t="s">
        <v>39</v>
      </c>
      <c r="D14" s="2" t="s">
        <v>39</v>
      </c>
      <c r="E14" s="3">
        <v>10</v>
      </c>
      <c r="F14" s="21">
        <v>2048</v>
      </c>
      <c r="G14" s="3">
        <f t="shared" si="5"/>
        <v>20480</v>
      </c>
      <c r="H14" s="5"/>
      <c r="I14" s="4">
        <v>1640</v>
      </c>
      <c r="J14" s="5">
        <f t="shared" si="0"/>
        <v>1640</v>
      </c>
      <c r="K14" s="5">
        <f t="shared" si="1"/>
        <v>408</v>
      </c>
      <c r="L14" s="6">
        <f t="shared" si="2"/>
        <v>16400</v>
      </c>
      <c r="M14" s="6">
        <f t="shared" si="3"/>
        <v>4080</v>
      </c>
      <c r="N14" s="8" t="str">
        <f t="shared" si="4"/>
        <v>KEEP SELLING</v>
      </c>
    </row>
    <row r="15" spans="1:24" ht="18" customHeight="1" x14ac:dyDescent="0.2">
      <c r="A15" s="2" t="s">
        <v>32</v>
      </c>
      <c r="B15" s="2" t="s">
        <v>33</v>
      </c>
      <c r="C15" s="2" t="s">
        <v>40</v>
      </c>
      <c r="D15" s="2" t="s">
        <v>40</v>
      </c>
      <c r="E15" s="3">
        <v>10</v>
      </c>
      <c r="F15" s="21">
        <v>3184</v>
      </c>
      <c r="G15" s="3">
        <f t="shared" si="5"/>
        <v>31840</v>
      </c>
      <c r="H15" s="5">
        <v>995</v>
      </c>
      <c r="I15" s="4"/>
      <c r="J15" s="5">
        <f t="shared" si="0"/>
        <v>995</v>
      </c>
      <c r="K15" s="5">
        <f t="shared" si="1"/>
        <v>2189</v>
      </c>
      <c r="L15" s="6">
        <f t="shared" si="2"/>
        <v>9950</v>
      </c>
      <c r="M15" s="6">
        <f t="shared" si="3"/>
        <v>21890</v>
      </c>
      <c r="N15" s="8" t="str">
        <f t="shared" si="4"/>
        <v>KEEP SELLING</v>
      </c>
    </row>
    <row r="16" spans="1:24" ht="22.5" customHeight="1" x14ac:dyDescent="0.2">
      <c r="A16" s="2" t="s">
        <v>32</v>
      </c>
      <c r="B16" s="2" t="s">
        <v>33</v>
      </c>
      <c r="C16" s="2" t="s">
        <v>41</v>
      </c>
      <c r="D16" s="2" t="s">
        <v>41</v>
      </c>
      <c r="E16" s="3">
        <v>10</v>
      </c>
      <c r="F16" s="21">
        <v>880</v>
      </c>
      <c r="G16" s="3">
        <f t="shared" si="5"/>
        <v>8800</v>
      </c>
      <c r="H16" s="5">
        <v>755</v>
      </c>
      <c r="I16" s="4"/>
      <c r="J16" s="5">
        <f t="shared" si="0"/>
        <v>755</v>
      </c>
      <c r="K16" s="5">
        <f t="shared" si="1"/>
        <v>125</v>
      </c>
      <c r="L16" s="6">
        <f t="shared" si="2"/>
        <v>7550</v>
      </c>
      <c r="M16" s="6">
        <f t="shared" si="3"/>
        <v>1250</v>
      </c>
      <c r="N16" s="8" t="str">
        <f t="shared" si="4"/>
        <v>KEEP SELLING</v>
      </c>
    </row>
    <row r="17" spans="1:14" ht="18" customHeight="1" x14ac:dyDescent="0.2">
      <c r="A17" s="2" t="s">
        <v>32</v>
      </c>
      <c r="B17" s="2" t="s">
        <v>33</v>
      </c>
      <c r="C17" s="2" t="s">
        <v>42</v>
      </c>
      <c r="D17" s="2" t="s">
        <v>42</v>
      </c>
      <c r="E17" s="3">
        <v>10</v>
      </c>
      <c r="F17" s="21">
        <v>814</v>
      </c>
      <c r="G17" s="3">
        <f t="shared" si="5"/>
        <v>8140</v>
      </c>
      <c r="H17" s="5">
        <v>145</v>
      </c>
      <c r="I17" s="4">
        <v>105</v>
      </c>
      <c r="J17" s="5">
        <f t="shared" si="0"/>
        <v>250</v>
      </c>
      <c r="K17" s="5">
        <f t="shared" si="1"/>
        <v>564</v>
      </c>
      <c r="L17" s="6">
        <f t="shared" si="2"/>
        <v>2500</v>
      </c>
      <c r="M17" s="23">
        <f t="shared" si="3"/>
        <v>5640</v>
      </c>
      <c r="N17" s="8" t="str">
        <f t="shared" si="4"/>
        <v>KEEP SELLING</v>
      </c>
    </row>
    <row r="18" spans="1:14" ht="18" customHeight="1" x14ac:dyDescent="0.2">
      <c r="A18" s="2" t="s">
        <v>32</v>
      </c>
      <c r="B18" s="2" t="s">
        <v>33</v>
      </c>
      <c r="C18" s="2" t="s">
        <v>43</v>
      </c>
      <c r="D18" s="2" t="s">
        <v>43</v>
      </c>
      <c r="E18" s="3">
        <v>30</v>
      </c>
      <c r="F18" s="21">
        <v>672</v>
      </c>
      <c r="G18" s="3">
        <f t="shared" si="5"/>
        <v>20160</v>
      </c>
      <c r="H18" s="5">
        <v>3</v>
      </c>
      <c r="I18" s="4">
        <v>26</v>
      </c>
      <c r="J18" s="5">
        <f t="shared" si="0"/>
        <v>29</v>
      </c>
      <c r="K18" s="5">
        <f t="shared" si="1"/>
        <v>643</v>
      </c>
      <c r="L18" s="6">
        <f t="shared" si="2"/>
        <v>870</v>
      </c>
      <c r="M18" s="6">
        <f t="shared" si="3"/>
        <v>19290</v>
      </c>
      <c r="N18" s="8" t="str">
        <f t="shared" si="4"/>
        <v>KEEP SELLING</v>
      </c>
    </row>
    <row r="19" spans="1:14" ht="18" customHeight="1" x14ac:dyDescent="0.2">
      <c r="A19" s="2" t="s">
        <v>32</v>
      </c>
      <c r="B19" s="2" t="s">
        <v>33</v>
      </c>
      <c r="C19" s="2" t="s">
        <v>44</v>
      </c>
      <c r="D19" s="2" t="s">
        <v>44</v>
      </c>
      <c r="E19" s="3">
        <v>30</v>
      </c>
      <c r="F19" s="21">
        <v>80</v>
      </c>
      <c r="G19" s="3">
        <f t="shared" si="5"/>
        <v>2400</v>
      </c>
      <c r="H19" s="5"/>
      <c r="I19" s="4">
        <v>278</v>
      </c>
      <c r="J19" s="5">
        <f t="shared" si="0"/>
        <v>278</v>
      </c>
      <c r="K19" s="5">
        <f t="shared" si="1"/>
        <v>-198</v>
      </c>
      <c r="L19" s="6">
        <f t="shared" si="2"/>
        <v>8340</v>
      </c>
      <c r="M19" s="6">
        <f t="shared" si="3"/>
        <v>-5940</v>
      </c>
      <c r="N19" s="8" t="str">
        <f t="shared" si="4"/>
        <v>DO NOT SELL</v>
      </c>
    </row>
    <row r="20" spans="1:14" ht="23.25" customHeight="1" x14ac:dyDescent="0.2">
      <c r="A20" s="2" t="s">
        <v>32</v>
      </c>
      <c r="B20" s="2" t="s">
        <v>33</v>
      </c>
      <c r="C20" s="2" t="s">
        <v>45</v>
      </c>
      <c r="D20" s="2" t="s">
        <v>45</v>
      </c>
      <c r="E20" s="3">
        <v>30</v>
      </c>
      <c r="F20" s="21">
        <v>40</v>
      </c>
      <c r="G20" s="3">
        <f t="shared" si="5"/>
        <v>1200</v>
      </c>
      <c r="H20" s="5"/>
      <c r="I20" s="4">
        <v>6</v>
      </c>
      <c r="J20" s="5">
        <f t="shared" si="0"/>
        <v>6</v>
      </c>
      <c r="K20" s="5">
        <f t="shared" si="1"/>
        <v>34</v>
      </c>
      <c r="L20" s="6">
        <f t="shared" si="2"/>
        <v>180</v>
      </c>
      <c r="M20" s="6">
        <f t="shared" si="3"/>
        <v>1020</v>
      </c>
      <c r="N20" s="8" t="str">
        <f t="shared" si="4"/>
        <v>KEEP SELLING</v>
      </c>
    </row>
    <row r="21" spans="1:14" ht="24" customHeight="1" x14ac:dyDescent="0.2">
      <c r="A21" s="2" t="s">
        <v>32</v>
      </c>
      <c r="B21" s="2" t="s">
        <v>33</v>
      </c>
      <c r="C21" s="2" t="s">
        <v>46</v>
      </c>
      <c r="D21" s="2" t="s">
        <v>46</v>
      </c>
      <c r="E21" s="3">
        <v>80</v>
      </c>
      <c r="F21" s="21">
        <v>758</v>
      </c>
      <c r="G21" s="3">
        <f t="shared" si="5"/>
        <v>60640</v>
      </c>
      <c r="H21" s="5">
        <v>78</v>
      </c>
      <c r="I21" s="4">
        <v>445</v>
      </c>
      <c r="J21" s="5">
        <f t="shared" si="0"/>
        <v>523</v>
      </c>
      <c r="K21" s="5">
        <f t="shared" si="1"/>
        <v>235</v>
      </c>
      <c r="L21" s="6">
        <f t="shared" si="2"/>
        <v>41840</v>
      </c>
      <c r="M21" s="6">
        <f t="shared" si="3"/>
        <v>18800</v>
      </c>
      <c r="N21" s="8" t="str">
        <f t="shared" si="4"/>
        <v>KEEP SELLING</v>
      </c>
    </row>
    <row r="22" spans="1:14" ht="18" customHeight="1" x14ac:dyDescent="0.2">
      <c r="A22" s="2" t="s">
        <v>36</v>
      </c>
      <c r="B22" s="2" t="s">
        <v>37</v>
      </c>
      <c r="C22" s="2" t="s">
        <v>24</v>
      </c>
      <c r="D22" s="2" t="s">
        <v>24</v>
      </c>
      <c r="E22" s="3">
        <v>100</v>
      </c>
      <c r="F22" s="21">
        <v>360</v>
      </c>
      <c r="G22" s="3">
        <f t="shared" si="5"/>
        <v>36000</v>
      </c>
      <c r="H22" s="5"/>
      <c r="I22" s="4"/>
      <c r="J22" s="5">
        <f t="shared" si="0"/>
        <v>0</v>
      </c>
      <c r="K22" s="5">
        <f t="shared" si="1"/>
        <v>360</v>
      </c>
      <c r="L22" s="6">
        <f t="shared" si="2"/>
        <v>0</v>
      </c>
      <c r="M22" s="6">
        <f t="shared" si="3"/>
        <v>36000</v>
      </c>
      <c r="N22" s="8" t="str">
        <f t="shared" si="4"/>
        <v>KEEP SELLING</v>
      </c>
    </row>
    <row r="23" spans="1:14" ht="25.5" customHeight="1" x14ac:dyDescent="0.2">
      <c r="A23" s="2" t="s">
        <v>36</v>
      </c>
      <c r="B23" s="2" t="s">
        <v>37</v>
      </c>
      <c r="C23" s="2" t="s">
        <v>25</v>
      </c>
      <c r="D23" s="2" t="s">
        <v>25</v>
      </c>
      <c r="E23" s="3">
        <v>100</v>
      </c>
      <c r="F23" s="21">
        <v>762</v>
      </c>
      <c r="G23" s="3">
        <f t="shared" si="5"/>
        <v>76200</v>
      </c>
      <c r="H23" s="5">
        <v>757</v>
      </c>
      <c r="I23" s="4"/>
      <c r="J23" s="5">
        <f t="shared" si="0"/>
        <v>757</v>
      </c>
      <c r="K23" s="5">
        <f t="shared" si="1"/>
        <v>5</v>
      </c>
      <c r="L23" s="6">
        <f t="shared" si="2"/>
        <v>75700</v>
      </c>
      <c r="M23" s="6">
        <f t="shared" si="3"/>
        <v>500</v>
      </c>
      <c r="N23" s="8" t="str">
        <f t="shared" si="4"/>
        <v>KEEP SELLING</v>
      </c>
    </row>
  </sheetData>
  <autoFilter ref="A1:N23" xr:uid="{D4C51FE4-31E3-484D-A9C8-A3E80A7ABAED}">
    <sortState xmlns:xlrd2="http://schemas.microsoft.com/office/spreadsheetml/2017/richdata2" ref="A2:N23">
      <sortCondition ref="A1:A23"/>
    </sortState>
  </autoFilter>
  <conditionalFormatting sqref="H2:I23">
    <cfRule type="cellIs" dxfId="7" priority="2" operator="lessThan">
      <formula>0</formula>
    </cfRule>
  </conditionalFormatting>
  <conditionalFormatting sqref="K2:N23">
    <cfRule type="cellIs" dxfId="6" priority="1" operator="lessThan">
      <formula>0</formula>
    </cfRule>
  </conditionalFormatting>
  <conditionalFormatting sqref="N1:N1048576">
    <cfRule type="containsText" dxfId="5" priority="8" operator="containsText" text="DO NOT SELL">
      <formula>NOT(ISERROR(SEARCH("DO NOT SELL",N1)))</formula>
    </cfRule>
    <cfRule type="containsText" dxfId="4" priority="9" operator="containsText" text="KEEP SELLING">
      <formula>NOT(ISERROR(SEARCH("KEEP SELLING",N1)))</formula>
    </cfRule>
  </conditionalFormatting>
  <conditionalFormatting sqref="N2:N5">
    <cfRule type="cellIs" dxfId="3" priority="10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5"/>
  <sheetViews>
    <sheetView workbookViewId="0">
      <selection activeCell="F10" sqref="F10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14</v>
      </c>
      <c r="I1" s="1" t="s">
        <v>15</v>
      </c>
      <c r="J1" s="1" t="s">
        <v>13</v>
      </c>
      <c r="K1" s="1" t="s">
        <v>16</v>
      </c>
      <c r="L1" s="7" t="s">
        <v>17</v>
      </c>
    </row>
    <row r="2" spans="1:12" x14ac:dyDescent="0.2">
      <c r="A2" s="2" t="s">
        <v>18</v>
      </c>
      <c r="B2" s="2" t="s">
        <v>20</v>
      </c>
      <c r="C2" s="2" t="s">
        <v>22</v>
      </c>
      <c r="D2" s="2" t="s">
        <v>22</v>
      </c>
      <c r="E2" s="3">
        <v>43</v>
      </c>
      <c r="F2" s="18">
        <v>212</v>
      </c>
      <c r="G2" s="3">
        <f>E2*F2</f>
        <v>9116</v>
      </c>
      <c r="H2" s="5"/>
      <c r="I2" s="4"/>
      <c r="J2" s="5"/>
      <c r="K2" s="5"/>
      <c r="L2" s="17">
        <f>H2+I2+J2+K2</f>
        <v>0</v>
      </c>
    </row>
    <row r="3" spans="1:12" x14ac:dyDescent="0.2">
      <c r="A3" s="2" t="s">
        <v>18</v>
      </c>
      <c r="B3" s="2" t="s">
        <v>20</v>
      </c>
      <c r="C3" s="2" t="s">
        <v>23</v>
      </c>
      <c r="D3" s="2" t="s">
        <v>23</v>
      </c>
      <c r="E3" s="3">
        <v>77</v>
      </c>
      <c r="F3" s="18">
        <v>258</v>
      </c>
      <c r="G3" s="3">
        <f t="shared" ref="G3:G5" si="0">E3*F3</f>
        <v>19866</v>
      </c>
      <c r="H3" s="5"/>
      <c r="I3" s="4"/>
      <c r="J3" s="5"/>
      <c r="K3" s="5"/>
      <c r="L3" s="17">
        <f t="shared" ref="L3:L5" si="1">H3+I3+J3+K3</f>
        <v>0</v>
      </c>
    </row>
    <row r="4" spans="1:12" x14ac:dyDescent="0.2">
      <c r="A4" s="2" t="s">
        <v>19</v>
      </c>
      <c r="B4" s="2" t="s">
        <v>21</v>
      </c>
      <c r="C4" s="2" t="s">
        <v>24</v>
      </c>
      <c r="D4" s="2" t="s">
        <v>24</v>
      </c>
      <c r="E4" s="3">
        <v>10</v>
      </c>
      <c r="F4" s="18">
        <v>754</v>
      </c>
      <c r="G4" s="3">
        <f t="shared" si="0"/>
        <v>7540</v>
      </c>
      <c r="H4" s="5"/>
      <c r="I4" s="4"/>
      <c r="J4" s="5"/>
      <c r="K4" s="5"/>
      <c r="L4" s="17">
        <f t="shared" si="1"/>
        <v>0</v>
      </c>
    </row>
    <row r="5" spans="1:12" x14ac:dyDescent="0.2">
      <c r="A5" s="2" t="s">
        <v>19</v>
      </c>
      <c r="B5" s="2" t="s">
        <v>21</v>
      </c>
      <c r="C5" s="2" t="s">
        <v>25</v>
      </c>
      <c r="D5" s="2" t="s">
        <v>25</v>
      </c>
      <c r="E5" s="3">
        <v>10</v>
      </c>
      <c r="F5" s="18">
        <v>1952</v>
      </c>
      <c r="G5" s="3">
        <f t="shared" si="0"/>
        <v>19520</v>
      </c>
      <c r="H5" s="5"/>
      <c r="I5" s="4"/>
      <c r="J5" s="5"/>
      <c r="K5" s="5"/>
      <c r="L5" s="17">
        <f t="shared" si="1"/>
        <v>0</v>
      </c>
    </row>
  </sheetData>
  <conditionalFormatting sqref="K2:L5 H2:I5">
    <cfRule type="cellIs" dxfId="2" priority="4" operator="lessThan">
      <formula>0</formula>
    </cfRule>
  </conditionalFormatting>
  <conditionalFormatting sqref="L1:L5">
    <cfRule type="containsText" dxfId="1" priority="1" operator="containsText" text="DO NOT SELL">
      <formula>NOT(ISERROR(SEARCH("DO NOT SELL",L1)))</formula>
    </cfRule>
    <cfRule type="containsText" dxfId="0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today</vt:lpstr>
      <vt:lpstr>Additional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2025-09-10T14:01:46Z</dcterms:modified>
  <cp:category/>
  <cp:contentStatus/>
</cp:coreProperties>
</file>