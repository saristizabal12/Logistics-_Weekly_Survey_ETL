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7 SD Promotions\"/>
    </mc:Choice>
  </mc:AlternateContent>
  <xr:revisionPtr revIDLastSave="0" documentId="13_ncr:1_{12CEFDAA-FA09-464B-B78E-02C43022127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" i="1" l="1"/>
  <c r="L17" i="1"/>
  <c r="K16" i="1"/>
  <c r="M16" i="1" s="1"/>
  <c r="K15" i="1"/>
  <c r="M15" i="1" s="1"/>
  <c r="L14" i="1"/>
  <c r="K13" i="1"/>
  <c r="M13" i="1" s="1"/>
  <c r="K12" i="1"/>
  <c r="M12" i="1" s="1"/>
  <c r="L6" i="1"/>
  <c r="L5" i="1"/>
  <c r="K4" i="1"/>
  <c r="M4" i="1" s="1"/>
  <c r="K3" i="1"/>
  <c r="M3" i="1" s="1"/>
  <c r="K2" i="1"/>
  <c r="M2" i="1" s="1"/>
  <c r="L23" i="1"/>
  <c r="L22" i="1"/>
  <c r="L21" i="1"/>
  <c r="L20" i="1"/>
  <c r="L19" i="1"/>
  <c r="L11" i="1"/>
  <c r="L10" i="1"/>
  <c r="L9" i="1"/>
  <c r="L8" i="1"/>
  <c r="L7" i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L13" i="1" l="1"/>
  <c r="L2" i="1"/>
  <c r="L3" i="1"/>
  <c r="K14" i="1"/>
  <c r="M14" i="1" s="1"/>
  <c r="L4" i="1"/>
  <c r="L16" i="1"/>
  <c r="L12" i="1"/>
  <c r="L15" i="1"/>
</calcChain>
</file>

<file path=xl/sharedStrings.xml><?xml version="1.0" encoding="utf-8"?>
<sst xmlns="http://schemas.openxmlformats.org/spreadsheetml/2006/main" count="147" uniqueCount="62">
  <si>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</si>
  <si>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</si>
  <si>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</si>
  <si>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</si>
  <si>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</si>
  <si>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</si>
  <si>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</si>
  <si>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</si>
  <si>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VITEL MOBILE, INC.</t>
  </si>
  <si>
    <t>G-A06</t>
  </si>
  <si>
    <t>G-A36-5G</t>
  </si>
  <si>
    <t>G-S24-ULTRA</t>
  </si>
  <si>
    <t>G-S25</t>
  </si>
  <si>
    <t>G-S25+</t>
  </si>
  <si>
    <t>G-Z-FLIP7</t>
  </si>
  <si>
    <t>G-Z-FLIP7-FE</t>
  </si>
  <si>
    <t>G-Z-FOLD7</t>
  </si>
  <si>
    <t>G-WATCH8</t>
  </si>
  <si>
    <t>G-WATCH8-CLASSIC</t>
  </si>
  <si>
    <t>G-A16</t>
  </si>
  <si>
    <t>G-S25-ULTRA</t>
  </si>
  <si>
    <t>W35-W37 Foldables Series Launching ST Promo</t>
  </si>
  <si>
    <t>A2S3A0A250000316</t>
  </si>
  <si>
    <t>A0S3A0A250000872</t>
  </si>
  <si>
    <t>MOBILE,SM-A566E/DS,LIGHT PINK,TPA</t>
  </si>
  <si>
    <t>MOBILE,SM-A566E/DS,GRAY,TPA</t>
  </si>
  <si>
    <t>MOBILE,SM-A566E/DS,GREEN,TPA</t>
  </si>
  <si>
    <t>MOBILE,SM-A566E/DS,BLACK,TPA</t>
  </si>
  <si>
    <t>A2S3A0A250000322</t>
  </si>
  <si>
    <t>SM-A566ELIATPA</t>
  </si>
  <si>
    <t>SM-A566EZAATPA</t>
  </si>
  <si>
    <t>SM-A566EZGATPA</t>
  </si>
  <si>
    <t>SM-A566EZKATPA</t>
  </si>
  <si>
    <t>A0S3A0A250000889</t>
  </si>
  <si>
    <t>VITEL W35-W37 A56 8+128GB OM ST Promo</t>
  </si>
  <si>
    <t>A0S3A0A250000894</t>
  </si>
  <si>
    <t>VITEL W35-W37 M55 OM ST Promo</t>
  </si>
  <si>
    <t>A2S3A0A250000324</t>
  </si>
  <si>
    <t>SM-M556BLGMTPA</t>
  </si>
  <si>
    <t>MOBILE,SM-M556B/DS,LIGHT GREEN,TPA</t>
  </si>
  <si>
    <t>SM-M556BZKMTPA</t>
  </si>
  <si>
    <t>MOBILE,SM-M556B/DS,BLACK,TPA</t>
  </si>
  <si>
    <t>G-S24</t>
  </si>
  <si>
    <t>G-S24+</t>
  </si>
  <si>
    <t>A2S3A0A250000326</t>
  </si>
  <si>
    <t>A0S3A0A250000902</t>
  </si>
  <si>
    <t>VITEL W35-W37 Watch8 Launching ST Promo</t>
  </si>
  <si>
    <t>A2S3A0A250000327</t>
  </si>
  <si>
    <t>G-A07</t>
  </si>
  <si>
    <t>G-A17</t>
  </si>
  <si>
    <t>A0S3A0A250000908</t>
  </si>
  <si>
    <t>VITEL W35-W37 VE Sell-Thru Promotion</t>
  </si>
  <si>
    <t>A2S3A0A250000339</t>
  </si>
  <si>
    <t>A0S3A0A250000925</t>
  </si>
  <si>
    <t>VITEL W36-W37 S24 / S24+ OM ST Promo</t>
  </si>
  <si>
    <t>Incentive</t>
  </si>
  <si>
    <t>AS-IS Qty</t>
  </si>
  <si>
    <t>AS-IS Amt($)</t>
  </si>
  <si>
    <t>TO-BE Qty</t>
  </si>
  <si>
    <t>TO-BE Amt($)</t>
  </si>
  <si>
    <t>DELTA Qty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</si>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</sst>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8" fontId="0" fillId="4" borderId="1" xfId="0" applyNumberFormat="1" applyFill="1" applyBorder="1"/>
    <xf numFmtId="4" fontId="0" fillId="4" borderId="1" xfId="0" applyNumberFormat="1" applyFill="1" applyBorder="1"/>
    <xf numFmtId="1" fontId="1" fillId="2" borderId="1" xfId="0" applyNumberFormat="1" applyFont="1" applyFill="1" applyBorder="1"/>
    <xf numFmtId="1" fontId="0" fillId="3" borderId="1" xfId="0" applyNumberFormat="1" applyFill="1" applyBorder="1"/>
    <xf numFmtId="1" fontId="0" fillId="0" borderId="0" xfId="0" applyNumberFormat="1"/>
    <xf numFmtId="4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8"/>
  <sheetViews>
    <sheetView showGridLines="0" tabSelected="1" topLeftCell="D1" workbookViewId="0">
      <pane ySplit="1" topLeftCell="A2" activePane="bottomLeft" state="frozen"/>
      <selection pane="bottomLeft" activeCell="H25" sqref="H25"/>
    </sheetView>
  </sheetViews>
  <sheetFormatPr defaultRowHeight="12.75" x14ac:dyDescent="0.2"/>
  <cols>
    <col min="1" max="1" width="22.42578125" bestFit="1" customWidth="1"/>
    <col min="2" max="2" width="40.7109375" bestFit="1" customWidth="1"/>
    <col min="3" max="3" width="28" bestFit="1" customWidth="1"/>
    <col min="4" max="4" width="32.7109375" bestFit="1" customWidth="1"/>
    <col min="5" max="5" width="16.140625" bestFit="1" customWidth="1"/>
    <col min="6" max="6" width="33" bestFit="1" customWidth="1"/>
    <col min="7" max="8" width="10.42578125" bestFit="1" customWidth="1"/>
    <col min="9" max="9" width="13.140625" bestFit="1" customWidth="1"/>
    <col min="10" max="10" width="11.140625" style="9" bestFit="1" customWidth="1"/>
    <col min="11" max="11" width="13.85546875" bestFit="1" customWidth="1"/>
    <col min="12" max="12" width="11.42578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55</v>
      </c>
      <c r="H1" s="1" t="s">
        <v>56</v>
      </c>
      <c r="I1" s="1" t="s">
        <v>57</v>
      </c>
      <c r="J1" s="7" t="s">
        <v>58</v>
      </c>
      <c r="K1" s="1" t="s">
        <v>59</v>
      </c>
      <c r="L1" s="1" t="s">
        <v>60</v>
      </c>
      <c r="M1" s="1" t="s">
        <v>61</v>
      </c>
      <c r="N1" s="1" t="s">
        <v>6</v>
      </c>
      <c r="O1" s="1" t="s">
        <v>7</v>
      </c>
    </row>
    <row r="2" spans="1:15" x14ac:dyDescent="0.2">
      <c r="A2" s="2" t="s">
        <v>23</v>
      </c>
      <c r="B2" s="2" t="s">
        <v>21</v>
      </c>
      <c r="C2" s="2" t="s">
        <v>22</v>
      </c>
      <c r="D2" s="2" t="s">
        <v>8</v>
      </c>
      <c r="E2" s="2" t="s">
        <v>14</v>
      </c>
      <c r="F2" s="2" t="s">
        <v>14</v>
      </c>
      <c r="G2" s="5">
        <v>80</v>
      </c>
      <c r="H2" s="6">
        <v>176</v>
      </c>
      <c r="I2" s="5">
        <v>14080</v>
      </c>
      <c r="J2" s="8">
        <v>100</v>
      </c>
      <c r="K2" s="4">
        <f t="shared" ref="K2:K23" si="0">J2*G2</f>
        <v>8000</v>
      </c>
      <c r="L2" s="6">
        <f t="shared" ref="L2:L23" si="1">J2-H2</f>
        <v>-76</v>
      </c>
      <c r="M2" s="5">
        <f t="shared" ref="M2:M23" si="2">K2-I2</f>
        <v>-6080</v>
      </c>
      <c r="N2" s="3">
        <v>45894</v>
      </c>
      <c r="O2" s="3">
        <v>45914</v>
      </c>
    </row>
    <row r="3" spans="1:15" x14ac:dyDescent="0.2">
      <c r="A3" s="2" t="s">
        <v>23</v>
      </c>
      <c r="B3" s="2" t="s">
        <v>21</v>
      </c>
      <c r="C3" s="2" t="s">
        <v>22</v>
      </c>
      <c r="D3" s="2" t="s">
        <v>8</v>
      </c>
      <c r="E3" s="2" t="s">
        <v>15</v>
      </c>
      <c r="F3" s="2" t="s">
        <v>15</v>
      </c>
      <c r="G3" s="5">
        <v>50</v>
      </c>
      <c r="H3" s="6">
        <v>36</v>
      </c>
      <c r="I3" s="5">
        <v>1800</v>
      </c>
      <c r="J3" s="8">
        <v>20</v>
      </c>
      <c r="K3" s="4">
        <f t="shared" si="0"/>
        <v>1000</v>
      </c>
      <c r="L3" s="6">
        <f t="shared" si="1"/>
        <v>-16</v>
      </c>
      <c r="M3" s="5">
        <f t="shared" si="2"/>
        <v>-800</v>
      </c>
      <c r="N3" s="3">
        <v>45894</v>
      </c>
      <c r="O3" s="3">
        <v>45914</v>
      </c>
    </row>
    <row r="4" spans="1:15" x14ac:dyDescent="0.2">
      <c r="A4" s="2" t="s">
        <v>23</v>
      </c>
      <c r="B4" s="2" t="s">
        <v>21</v>
      </c>
      <c r="C4" s="2" t="s">
        <v>22</v>
      </c>
      <c r="D4" s="2" t="s">
        <v>8</v>
      </c>
      <c r="E4" s="2" t="s">
        <v>16</v>
      </c>
      <c r="F4" s="2" t="s">
        <v>16</v>
      </c>
      <c r="G4" s="5">
        <v>100</v>
      </c>
      <c r="H4" s="6">
        <v>228</v>
      </c>
      <c r="I4" s="5">
        <v>22800</v>
      </c>
      <c r="J4" s="8">
        <v>130</v>
      </c>
      <c r="K4" s="4">
        <f t="shared" si="0"/>
        <v>13000</v>
      </c>
      <c r="L4" s="6">
        <f t="shared" si="1"/>
        <v>-98</v>
      </c>
      <c r="M4" s="5">
        <f t="shared" si="2"/>
        <v>-9800</v>
      </c>
      <c r="N4" s="3">
        <v>45894</v>
      </c>
      <c r="O4" s="3">
        <v>45914</v>
      </c>
    </row>
    <row r="5" spans="1:15" hidden="1" x14ac:dyDescent="0.2">
      <c r="A5" s="2" t="s">
        <v>33</v>
      </c>
      <c r="B5" s="2" t="s">
        <v>34</v>
      </c>
      <c r="C5" s="2" t="s">
        <v>28</v>
      </c>
      <c r="D5" s="2" t="s">
        <v>8</v>
      </c>
      <c r="E5" s="2" t="s">
        <v>29</v>
      </c>
      <c r="F5" s="2" t="s">
        <v>24</v>
      </c>
      <c r="G5" s="5">
        <v>50</v>
      </c>
      <c r="H5" s="6">
        <v>1</v>
      </c>
      <c r="I5" s="5">
        <v>50</v>
      </c>
      <c r="J5" s="8">
        <v>0</v>
      </c>
      <c r="K5" s="4">
        <f t="shared" si="0"/>
        <v>0</v>
      </c>
      <c r="L5" s="6">
        <f t="shared" si="1"/>
        <v>-1</v>
      </c>
      <c r="M5" s="5">
        <f t="shared" si="2"/>
        <v>-50</v>
      </c>
      <c r="N5" s="3">
        <v>45894</v>
      </c>
      <c r="O5" s="3">
        <v>45914</v>
      </c>
    </row>
    <row r="6" spans="1:15" hidden="1" x14ac:dyDescent="0.2">
      <c r="A6" s="2" t="s">
        <v>33</v>
      </c>
      <c r="B6" s="2" t="s">
        <v>34</v>
      </c>
      <c r="C6" s="2" t="s">
        <v>28</v>
      </c>
      <c r="D6" s="2" t="s">
        <v>8</v>
      </c>
      <c r="E6" s="2" t="s">
        <v>30</v>
      </c>
      <c r="F6" s="2" t="s">
        <v>25</v>
      </c>
      <c r="G6" s="5">
        <v>50</v>
      </c>
      <c r="H6" s="6">
        <v>686</v>
      </c>
      <c r="I6" s="5">
        <v>34300</v>
      </c>
      <c r="J6" s="8">
        <v>450</v>
      </c>
      <c r="K6" s="4">
        <f t="shared" si="0"/>
        <v>22500</v>
      </c>
      <c r="L6" s="6">
        <f t="shared" si="1"/>
        <v>-236</v>
      </c>
      <c r="M6" s="5">
        <f t="shared" si="2"/>
        <v>-11800</v>
      </c>
      <c r="N6" s="3">
        <v>45894</v>
      </c>
      <c r="O6" s="3">
        <v>45914</v>
      </c>
    </row>
    <row r="7" spans="1:15" hidden="1" x14ac:dyDescent="0.2">
      <c r="A7" s="2" t="s">
        <v>33</v>
      </c>
      <c r="B7" s="2" t="s">
        <v>34</v>
      </c>
      <c r="C7" s="2" t="s">
        <v>28</v>
      </c>
      <c r="D7" s="2" t="s">
        <v>8</v>
      </c>
      <c r="E7" s="2" t="s">
        <v>31</v>
      </c>
      <c r="F7" s="2" t="s">
        <v>26</v>
      </c>
      <c r="G7" s="5">
        <v>50</v>
      </c>
      <c r="H7" s="6">
        <v>788</v>
      </c>
      <c r="I7" s="5">
        <v>39400</v>
      </c>
      <c r="J7" s="8">
        <v>568</v>
      </c>
      <c r="K7" s="4">
        <f t="shared" si="0"/>
        <v>28400</v>
      </c>
      <c r="L7" s="6">
        <f t="shared" si="1"/>
        <v>-220</v>
      </c>
      <c r="M7" s="5">
        <f t="shared" si="2"/>
        <v>-11000</v>
      </c>
      <c r="N7" s="3">
        <v>45894</v>
      </c>
      <c r="O7" s="3">
        <v>45914</v>
      </c>
    </row>
    <row r="8" spans="1:15" hidden="1" x14ac:dyDescent="0.2">
      <c r="A8" s="2" t="s">
        <v>33</v>
      </c>
      <c r="B8" s="2" t="s">
        <v>34</v>
      </c>
      <c r="C8" s="2" t="s">
        <v>28</v>
      </c>
      <c r="D8" s="2" t="s">
        <v>8</v>
      </c>
      <c r="E8" s="2" t="s">
        <v>32</v>
      </c>
      <c r="F8" s="2" t="s">
        <v>27</v>
      </c>
      <c r="G8" s="5">
        <v>50</v>
      </c>
      <c r="H8" s="6">
        <v>685</v>
      </c>
      <c r="I8" s="5">
        <v>34250</v>
      </c>
      <c r="J8" s="8">
        <v>465</v>
      </c>
      <c r="K8" s="4">
        <f t="shared" si="0"/>
        <v>23250</v>
      </c>
      <c r="L8" s="6">
        <f t="shared" si="1"/>
        <v>-220</v>
      </c>
      <c r="M8" s="5">
        <f t="shared" si="2"/>
        <v>-11000</v>
      </c>
      <c r="N8" s="3">
        <v>45894</v>
      </c>
      <c r="O8" s="3">
        <v>45914</v>
      </c>
    </row>
    <row r="9" spans="1:15" hidden="1" x14ac:dyDescent="0.2">
      <c r="A9" s="2" t="s">
        <v>35</v>
      </c>
      <c r="B9" s="2" t="s">
        <v>36</v>
      </c>
      <c r="C9" s="2" t="s">
        <v>37</v>
      </c>
      <c r="D9" s="2" t="s">
        <v>8</v>
      </c>
      <c r="E9" s="2" t="s">
        <v>38</v>
      </c>
      <c r="F9" s="2" t="s">
        <v>39</v>
      </c>
      <c r="G9" s="5">
        <v>36</v>
      </c>
      <c r="H9" s="6">
        <v>500</v>
      </c>
      <c r="I9" s="5">
        <v>18000</v>
      </c>
      <c r="J9" s="8">
        <v>500</v>
      </c>
      <c r="K9" s="4">
        <f t="shared" si="0"/>
        <v>18000</v>
      </c>
      <c r="L9" s="6">
        <f t="shared" si="1"/>
        <v>0</v>
      </c>
      <c r="M9" s="5">
        <f t="shared" si="2"/>
        <v>0</v>
      </c>
      <c r="N9" s="3">
        <v>45894</v>
      </c>
      <c r="O9" s="3">
        <v>45914</v>
      </c>
    </row>
    <row r="10" spans="1:15" hidden="1" x14ac:dyDescent="0.2">
      <c r="A10" s="2" t="s">
        <v>35</v>
      </c>
      <c r="B10" s="2" t="s">
        <v>36</v>
      </c>
      <c r="C10" s="2" t="s">
        <v>37</v>
      </c>
      <c r="D10" s="2" t="s">
        <v>8</v>
      </c>
      <c r="E10" s="2" t="s">
        <v>40</v>
      </c>
      <c r="F10" s="2" t="s">
        <v>41</v>
      </c>
      <c r="G10" s="5">
        <v>36</v>
      </c>
      <c r="H10" s="6">
        <v>560</v>
      </c>
      <c r="I10" s="5">
        <v>20160</v>
      </c>
      <c r="J10" s="8">
        <v>560</v>
      </c>
      <c r="K10" s="4">
        <f t="shared" si="0"/>
        <v>20160</v>
      </c>
      <c r="L10" s="6">
        <f t="shared" si="1"/>
        <v>0</v>
      </c>
      <c r="M10" s="5">
        <f t="shared" si="2"/>
        <v>0</v>
      </c>
      <c r="N10" s="3">
        <v>45894</v>
      </c>
      <c r="O10" s="3">
        <v>45914</v>
      </c>
    </row>
    <row r="11" spans="1:15" hidden="1" x14ac:dyDescent="0.2">
      <c r="A11" s="2" t="s">
        <v>45</v>
      </c>
      <c r="B11" s="2" t="s">
        <v>46</v>
      </c>
      <c r="C11" s="2" t="s">
        <v>44</v>
      </c>
      <c r="D11" s="2" t="s">
        <v>8</v>
      </c>
      <c r="E11" s="2" t="s">
        <v>17</v>
      </c>
      <c r="F11" s="2" t="s">
        <v>17</v>
      </c>
      <c r="G11" s="5">
        <v>43</v>
      </c>
      <c r="H11" s="6">
        <v>1260</v>
      </c>
      <c r="I11" s="5">
        <v>54180</v>
      </c>
      <c r="J11" s="8">
        <v>1000</v>
      </c>
      <c r="K11" s="4">
        <f t="shared" si="0"/>
        <v>43000</v>
      </c>
      <c r="L11" s="6">
        <f t="shared" si="1"/>
        <v>-260</v>
      </c>
      <c r="M11" s="5">
        <f t="shared" si="2"/>
        <v>-11180</v>
      </c>
      <c r="N11" s="3">
        <v>45894</v>
      </c>
      <c r="O11" s="3">
        <v>45914</v>
      </c>
    </row>
    <row r="12" spans="1:15" hidden="1" x14ac:dyDescent="0.2">
      <c r="A12" s="2" t="s">
        <v>45</v>
      </c>
      <c r="B12" s="2" t="s">
        <v>46</v>
      </c>
      <c r="C12" s="2" t="s">
        <v>44</v>
      </c>
      <c r="D12" s="2" t="s">
        <v>8</v>
      </c>
      <c r="E12" s="2" t="s">
        <v>18</v>
      </c>
      <c r="F12" s="2" t="s">
        <v>18</v>
      </c>
      <c r="G12" s="5">
        <v>77</v>
      </c>
      <c r="H12" s="6">
        <v>660</v>
      </c>
      <c r="I12" s="5">
        <v>50820</v>
      </c>
      <c r="J12" s="8">
        <v>650</v>
      </c>
      <c r="K12" s="4">
        <f t="shared" si="0"/>
        <v>50050</v>
      </c>
      <c r="L12" s="6">
        <f t="shared" si="1"/>
        <v>-10</v>
      </c>
      <c r="M12" s="5">
        <f t="shared" si="2"/>
        <v>-770</v>
      </c>
      <c r="N12" s="3">
        <v>45894</v>
      </c>
      <c r="O12" s="3">
        <v>45914</v>
      </c>
    </row>
    <row r="13" spans="1:15" hidden="1" x14ac:dyDescent="0.2">
      <c r="A13" s="2" t="s">
        <v>50</v>
      </c>
      <c r="B13" s="2" t="s">
        <v>51</v>
      </c>
      <c r="C13" s="2" t="s">
        <v>47</v>
      </c>
      <c r="D13" s="2" t="s">
        <v>8</v>
      </c>
      <c r="E13" s="2" t="s">
        <v>9</v>
      </c>
      <c r="F13" s="2" t="s">
        <v>9</v>
      </c>
      <c r="G13" s="5">
        <v>10</v>
      </c>
      <c r="H13" s="6">
        <v>380</v>
      </c>
      <c r="I13" s="5">
        <v>3800</v>
      </c>
      <c r="J13" s="8">
        <v>1460</v>
      </c>
      <c r="K13" s="4">
        <f t="shared" si="0"/>
        <v>14600</v>
      </c>
      <c r="L13" s="6">
        <f t="shared" si="1"/>
        <v>1080</v>
      </c>
      <c r="M13" s="5">
        <f t="shared" si="2"/>
        <v>10800</v>
      </c>
      <c r="N13" s="3">
        <v>45894</v>
      </c>
      <c r="O13" s="3">
        <v>45914</v>
      </c>
    </row>
    <row r="14" spans="1:15" hidden="1" x14ac:dyDescent="0.2">
      <c r="A14" s="2" t="s">
        <v>50</v>
      </c>
      <c r="B14" s="2" t="s">
        <v>51</v>
      </c>
      <c r="C14" s="2" t="s">
        <v>47</v>
      </c>
      <c r="D14" s="2" t="s">
        <v>8</v>
      </c>
      <c r="E14" s="2" t="s">
        <v>48</v>
      </c>
      <c r="F14" s="2" t="s">
        <v>48</v>
      </c>
      <c r="G14" s="5">
        <v>10</v>
      </c>
      <c r="H14" s="6">
        <v>2048</v>
      </c>
      <c r="I14" s="5">
        <v>20480</v>
      </c>
      <c r="J14" s="8">
        <v>1200</v>
      </c>
      <c r="K14" s="4">
        <f t="shared" si="0"/>
        <v>12000</v>
      </c>
      <c r="L14" s="6">
        <f t="shared" si="1"/>
        <v>-848</v>
      </c>
      <c r="M14" s="5">
        <f t="shared" si="2"/>
        <v>-8480</v>
      </c>
      <c r="N14" s="3">
        <v>45894</v>
      </c>
      <c r="O14" s="3">
        <v>45914</v>
      </c>
    </row>
    <row r="15" spans="1:15" hidden="1" x14ac:dyDescent="0.2">
      <c r="A15" s="2" t="s">
        <v>50</v>
      </c>
      <c r="B15" s="2" t="s">
        <v>51</v>
      </c>
      <c r="C15" s="2" t="s">
        <v>47</v>
      </c>
      <c r="D15" s="2" t="s">
        <v>8</v>
      </c>
      <c r="E15" s="2" t="s">
        <v>19</v>
      </c>
      <c r="F15" s="2" t="s">
        <v>19</v>
      </c>
      <c r="G15" s="5">
        <v>10</v>
      </c>
      <c r="H15" s="6">
        <v>3184</v>
      </c>
      <c r="I15" s="5">
        <v>31840</v>
      </c>
      <c r="J15" s="8">
        <v>1800</v>
      </c>
      <c r="K15" s="4">
        <f t="shared" si="0"/>
        <v>18000</v>
      </c>
      <c r="L15" s="6">
        <f t="shared" si="1"/>
        <v>-1384</v>
      </c>
      <c r="M15" s="5">
        <f t="shared" si="2"/>
        <v>-13840</v>
      </c>
      <c r="N15" s="3">
        <v>45894</v>
      </c>
      <c r="O15" s="3">
        <v>45914</v>
      </c>
    </row>
    <row r="16" spans="1:15" hidden="1" x14ac:dyDescent="0.2">
      <c r="A16" s="2" t="s">
        <v>50</v>
      </c>
      <c r="B16" s="2" t="s">
        <v>51</v>
      </c>
      <c r="C16" s="2" t="s">
        <v>47</v>
      </c>
      <c r="D16" s="2" t="s">
        <v>8</v>
      </c>
      <c r="E16" s="2" t="s">
        <v>49</v>
      </c>
      <c r="F16" s="2" t="s">
        <v>49</v>
      </c>
      <c r="G16" s="5">
        <v>10</v>
      </c>
      <c r="H16" s="6">
        <v>880</v>
      </c>
      <c r="I16" s="5">
        <v>8800</v>
      </c>
      <c r="J16" s="8">
        <v>1400</v>
      </c>
      <c r="K16" s="4">
        <f t="shared" si="0"/>
        <v>14000</v>
      </c>
      <c r="L16" s="6">
        <f t="shared" si="1"/>
        <v>520</v>
      </c>
      <c r="M16" s="5">
        <f t="shared" si="2"/>
        <v>5200</v>
      </c>
      <c r="N16" s="3">
        <v>45894</v>
      </c>
      <c r="O16" s="3">
        <v>45914</v>
      </c>
    </row>
    <row r="17" spans="1:15" hidden="1" x14ac:dyDescent="0.2">
      <c r="A17" s="2" t="s">
        <v>50</v>
      </c>
      <c r="B17" s="2" t="s">
        <v>51</v>
      </c>
      <c r="C17" s="2" t="s">
        <v>47</v>
      </c>
      <c r="D17" s="2" t="s">
        <v>8</v>
      </c>
      <c r="E17" s="2" t="s">
        <v>10</v>
      </c>
      <c r="F17" s="2" t="s">
        <v>10</v>
      </c>
      <c r="G17" s="5">
        <v>10</v>
      </c>
      <c r="H17" s="6">
        <v>814</v>
      </c>
      <c r="I17" s="5">
        <v>8140</v>
      </c>
      <c r="J17" s="8">
        <v>260</v>
      </c>
      <c r="K17" s="4">
        <f t="shared" si="0"/>
        <v>2600</v>
      </c>
      <c r="L17" s="6">
        <f t="shared" si="1"/>
        <v>-554</v>
      </c>
      <c r="M17" s="5">
        <f t="shared" si="2"/>
        <v>-5540</v>
      </c>
      <c r="N17" s="3">
        <v>45894</v>
      </c>
      <c r="O17" s="3">
        <v>45914</v>
      </c>
    </row>
    <row r="18" spans="1:15" hidden="1" x14ac:dyDescent="0.2">
      <c r="A18" s="2" t="s">
        <v>50</v>
      </c>
      <c r="B18" s="2" t="s">
        <v>51</v>
      </c>
      <c r="C18" s="2" t="s">
        <v>47</v>
      </c>
      <c r="D18" s="2" t="s">
        <v>8</v>
      </c>
      <c r="E18" s="2" t="s">
        <v>11</v>
      </c>
      <c r="F18" s="2" t="s">
        <v>11</v>
      </c>
      <c r="G18" s="5">
        <v>30</v>
      </c>
      <c r="H18" s="6">
        <v>672</v>
      </c>
      <c r="I18" s="5">
        <v>20160</v>
      </c>
      <c r="J18" s="8">
        <v>20</v>
      </c>
      <c r="K18" s="4">
        <f t="shared" si="0"/>
        <v>600</v>
      </c>
      <c r="L18" s="6">
        <f t="shared" si="1"/>
        <v>-652</v>
      </c>
      <c r="M18" s="5">
        <f t="shared" si="2"/>
        <v>-19560</v>
      </c>
      <c r="N18" s="3">
        <v>45894</v>
      </c>
      <c r="O18" s="3">
        <v>45914</v>
      </c>
    </row>
    <row r="19" spans="1:15" hidden="1" x14ac:dyDescent="0.2">
      <c r="A19" s="2" t="s">
        <v>50</v>
      </c>
      <c r="B19" s="2" t="s">
        <v>51</v>
      </c>
      <c r="C19" s="2" t="s">
        <v>47</v>
      </c>
      <c r="D19" s="2" t="s">
        <v>8</v>
      </c>
      <c r="E19" s="2" t="s">
        <v>12</v>
      </c>
      <c r="F19" s="2" t="s">
        <v>12</v>
      </c>
      <c r="G19" s="5">
        <v>30</v>
      </c>
      <c r="H19" s="6">
        <v>80</v>
      </c>
      <c r="I19" s="5">
        <v>2400</v>
      </c>
      <c r="J19" s="8">
        <v>10</v>
      </c>
      <c r="K19" s="4">
        <f t="shared" si="0"/>
        <v>300</v>
      </c>
      <c r="L19" s="6">
        <f t="shared" si="1"/>
        <v>-70</v>
      </c>
      <c r="M19" s="5">
        <f t="shared" si="2"/>
        <v>-2100</v>
      </c>
      <c r="N19" s="3">
        <v>45894</v>
      </c>
      <c r="O19" s="3">
        <v>45914</v>
      </c>
    </row>
    <row r="20" spans="1:15" hidden="1" x14ac:dyDescent="0.2">
      <c r="A20" s="2" t="s">
        <v>50</v>
      </c>
      <c r="B20" s="2" t="s">
        <v>51</v>
      </c>
      <c r="C20" s="2" t="s">
        <v>47</v>
      </c>
      <c r="D20" s="2" t="s">
        <v>8</v>
      </c>
      <c r="E20" s="2" t="s">
        <v>13</v>
      </c>
      <c r="F20" s="2" t="s">
        <v>13</v>
      </c>
      <c r="G20" s="5">
        <v>30</v>
      </c>
      <c r="H20" s="6">
        <v>40</v>
      </c>
      <c r="I20" s="5">
        <v>1200</v>
      </c>
      <c r="J20" s="8">
        <v>20</v>
      </c>
      <c r="K20" s="4">
        <f t="shared" si="0"/>
        <v>600</v>
      </c>
      <c r="L20" s="6">
        <f t="shared" si="1"/>
        <v>-20</v>
      </c>
      <c r="M20" s="5">
        <f t="shared" si="2"/>
        <v>-600</v>
      </c>
      <c r="N20" s="3">
        <v>45894</v>
      </c>
      <c r="O20" s="3">
        <v>45914</v>
      </c>
    </row>
    <row r="21" spans="1:15" hidden="1" x14ac:dyDescent="0.2">
      <c r="A21" s="2" t="s">
        <v>50</v>
      </c>
      <c r="B21" s="2" t="s">
        <v>51</v>
      </c>
      <c r="C21" s="2" t="s">
        <v>47</v>
      </c>
      <c r="D21" s="2" t="s">
        <v>8</v>
      </c>
      <c r="E21" s="2" t="s">
        <v>20</v>
      </c>
      <c r="F21" s="2" t="s">
        <v>20</v>
      </c>
      <c r="G21" s="5">
        <v>80</v>
      </c>
      <c r="H21" s="6">
        <v>758</v>
      </c>
      <c r="I21" s="5">
        <v>60640</v>
      </c>
      <c r="J21" s="8">
        <v>160</v>
      </c>
      <c r="K21" s="4">
        <f t="shared" si="0"/>
        <v>12800</v>
      </c>
      <c r="L21" s="6">
        <f t="shared" si="1"/>
        <v>-598</v>
      </c>
      <c r="M21" s="5">
        <f t="shared" si="2"/>
        <v>-47840</v>
      </c>
      <c r="N21" s="3">
        <v>45894</v>
      </c>
      <c r="O21" s="3">
        <v>45914</v>
      </c>
    </row>
    <row r="22" spans="1:15" hidden="1" x14ac:dyDescent="0.2">
      <c r="A22" s="2" t="s">
        <v>53</v>
      </c>
      <c r="B22" s="2" t="s">
        <v>54</v>
      </c>
      <c r="C22" s="2" t="s">
        <v>52</v>
      </c>
      <c r="D22" s="2" t="s">
        <v>8</v>
      </c>
      <c r="E22" s="2" t="s">
        <v>42</v>
      </c>
      <c r="F22" s="2" t="s">
        <v>42</v>
      </c>
      <c r="G22" s="5">
        <v>100</v>
      </c>
      <c r="H22" s="6">
        <v>360</v>
      </c>
      <c r="I22" s="5">
        <v>36000</v>
      </c>
      <c r="J22" s="8">
        <v>360</v>
      </c>
      <c r="K22" s="4">
        <f t="shared" si="0"/>
        <v>36000</v>
      </c>
      <c r="L22" s="6">
        <f t="shared" si="1"/>
        <v>0</v>
      </c>
      <c r="M22" s="5">
        <f t="shared" si="2"/>
        <v>0</v>
      </c>
      <c r="N22" s="3">
        <v>45901</v>
      </c>
      <c r="O22" s="3">
        <v>45914</v>
      </c>
    </row>
    <row r="23" spans="1:15" hidden="1" x14ac:dyDescent="0.2">
      <c r="A23" s="2" t="s">
        <v>53</v>
      </c>
      <c r="B23" s="2" t="s">
        <v>54</v>
      </c>
      <c r="C23" s="2" t="s">
        <v>52</v>
      </c>
      <c r="D23" s="2" t="s">
        <v>8</v>
      </c>
      <c r="E23" s="2" t="s">
        <v>43</v>
      </c>
      <c r="F23" s="2" t="s">
        <v>43</v>
      </c>
      <c r="G23" s="5">
        <v>100</v>
      </c>
      <c r="H23" s="6">
        <v>762</v>
      </c>
      <c r="I23" s="5">
        <v>76200</v>
      </c>
      <c r="J23" s="8">
        <v>757</v>
      </c>
      <c r="K23" s="4">
        <f t="shared" si="0"/>
        <v>75700</v>
      </c>
      <c r="L23" s="6">
        <f t="shared" si="1"/>
        <v>-5</v>
      </c>
      <c r="M23" s="5">
        <f t="shared" si="2"/>
        <v>-500</v>
      </c>
      <c r="N23" s="3">
        <v>45901</v>
      </c>
      <c r="O23" s="3">
        <v>45914</v>
      </c>
    </row>
    <row r="25" spans="1:15" x14ac:dyDescent="0.2">
      <c r="H25" s="10"/>
    </row>
    <row r="26" spans="1:15" x14ac:dyDescent="0.2">
      <c r="H26" s="10"/>
    </row>
    <row r="27" spans="1:15" x14ac:dyDescent="0.2">
      <c r="H27" s="10"/>
    </row>
    <row r="28" spans="1:15" x14ac:dyDescent="0.2">
      <c r="H28" s="10"/>
    </row>
  </sheetData>
  <autoFilter ref="A1:O23" xr:uid="{00000000-0001-0000-0000-000000000000}">
    <filterColumn colId="0">
      <filters>
        <filter val="A0S3A0A250000872"/>
      </filters>
    </filterColumn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2025-09-08T15:23:47Z</dcterms:created>
  <dcterms:modified xsi:type="dcterms:W3CDTF">2025-09-15T20:03:03Z</dcterms:modified>
  <cp:category/>
</cp:coreProperties>
</file>