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52 SD Promotions\"/>
    </mc:Choice>
  </mc:AlternateContent>
  <xr:revisionPtr revIDLastSave="0" documentId="13_ncr:1_{76E5E986-5D02-4A32-B781-3EB44BC28822}" xr6:coauthVersionLast="47" xr6:coauthVersionMax="47" xr10:uidLastSave="{00000000-0000-0000-0000-000000000000}"/>
  <bookViews>
    <workbookView xWindow="17775" yWindow="0" windowWidth="33660" windowHeight="20985" xr2:uid="{00000000-000D-0000-FFFF-FFFF00000000}"/>
  </bookViews>
  <sheets>
    <sheet name="As of now" sheetId="13" r:id="rId1"/>
  </sheets>
  <definedNames>
    <definedName name="_xlnm._FilterDatabase" localSheetId="0" hidden="1">'As of now'!$A$1:$N$3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3" l="1"/>
  <c r="P2" i="13"/>
  <c r="J3" i="13"/>
  <c r="K3" i="13" s="1"/>
  <c r="G3" i="13"/>
  <c r="J2" i="13"/>
  <c r="K2" i="13" s="1"/>
  <c r="G2" i="13"/>
  <c r="L2" i="13" l="1"/>
  <c r="L3" i="13"/>
  <c r="M2" i="13" l="1"/>
  <c r="N2" i="13" s="1"/>
  <c r="Q2" i="13"/>
  <c r="R2" i="13" s="1"/>
  <c r="M3" i="13"/>
  <c r="N3" i="13" s="1"/>
  <c r="Q3" i="13"/>
  <c r="S2" i="13" s="1"/>
</calcChain>
</file>

<file path=xl/sharedStrings.xml><?xml version="1.0" encoding="utf-8"?>
<sst xmlns="http://schemas.openxmlformats.org/spreadsheetml/2006/main" count="22" uniqueCount="19">
  <si>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</si>
  <si>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</si>
  <si>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</si>
  <si>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</si>
  <si>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</si>
  <si>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</si>
  <si>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</si>
  <si>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</si>
  <si>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</si>
  <si>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</si>
  <si>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</si>
  <si>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</si>
  <si>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</si>
  <si>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G-S25-ULTRA</t>
  </si>
  <si>
    <t>A0S3A0A250001239</t>
  </si>
  <si>
    <t>G-TAB-A11</t>
  </si>
  <si>
    <t>A0S3A0A250001248</t>
  </si>
  <si>
    <t>VITEL W51-W52 S25 Ultra OM ST Promo</t>
  </si>
  <si>
    <t>VITEL W51-W52 A11 OM ST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</si>
</sst>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0" fontId="0" fillId="0" borderId="1" xfId="0" applyBorder="1"/>
    <xf numFmtId="3" fontId="0" fillId="4" borderId="1" xfId="0" applyNumberFormat="1" applyFill="1" applyBorder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S3"/>
  <sheetViews>
    <sheetView showGridLines="0" tabSelected="1" topLeftCell="B1" zoomScale="130" zoomScaleNormal="130" workbookViewId="0">
      <pane ySplit="1" topLeftCell="A2" activePane="bottomLeft" state="frozen"/>
      <selection pane="bottomLeft" activeCell="O12" sqref="O12"/>
    </sheetView>
  </sheetViews>
  <sheetFormatPr defaultRowHeight="18" customHeight="1" x14ac:dyDescent="0.2"/>
  <cols>
    <col min="1" max="1" width="20.28515625" bestFit="1" customWidth="1"/>
    <col min="2" max="2" width="41.7109375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7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6" max="16" width="11.7109375" bestFit="1" customWidth="1"/>
    <col min="17" max="17" width="12.28515625" bestFit="1" customWidth="1"/>
    <col min="18" max="18" width="11.42578125" bestFit="1" customWidth="1"/>
    <col min="19" max="19" width="10.425781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>
        <v>1239</v>
      </c>
      <c r="S1" s="11">
        <v>1248</v>
      </c>
    </row>
    <row r="2" spans="1:19" ht="18" customHeight="1" x14ac:dyDescent="0.2">
      <c r="A2" s="14" t="s">
        <v>14</v>
      </c>
      <c r="B2" s="14" t="s">
        <v>17</v>
      </c>
      <c r="C2" s="14" t="s">
        <v>13</v>
      </c>
      <c r="D2" s="14" t="s">
        <v>13</v>
      </c>
      <c r="E2" s="2">
        <v>50</v>
      </c>
      <c r="F2" s="15">
        <v>1278</v>
      </c>
      <c r="G2" s="2">
        <f t="shared" ref="G2:G3" si="0">E2*F2</f>
        <v>63900</v>
      </c>
      <c r="H2" s="3">
        <v>934</v>
      </c>
      <c r="I2" s="3">
        <v>13</v>
      </c>
      <c r="J2" s="3">
        <f t="shared" ref="J2:J3" si="1">H2+I2</f>
        <v>947</v>
      </c>
      <c r="K2" s="3">
        <f t="shared" ref="K2:K3" si="2">F2-J2</f>
        <v>331</v>
      </c>
      <c r="L2" s="4">
        <f t="shared" ref="L2:L3" si="3">J2*E2</f>
        <v>47350</v>
      </c>
      <c r="M2" s="4">
        <f t="shared" ref="M2:M3" si="4">G2-L2</f>
        <v>16550</v>
      </c>
      <c r="N2" s="13" t="str">
        <f t="shared" ref="N2:N3" si="5">IF(M2&gt;0,"KEEP SELLING", "DO NOT SELL")</f>
        <v>KEEP SELLING</v>
      </c>
      <c r="P2" s="10">
        <f>SUM(G2:G2)</f>
        <v>63900</v>
      </c>
      <c r="Q2" s="9">
        <f>SUM(L2)</f>
        <v>47350</v>
      </c>
      <c r="R2" s="12">
        <f>P2-Q2</f>
        <v>16550</v>
      </c>
      <c r="S2" s="12">
        <f>P3-Q3</f>
        <v>260</v>
      </c>
    </row>
    <row r="3" spans="1:19" ht="18" customHeight="1" x14ac:dyDescent="0.2">
      <c r="A3" s="14" t="s">
        <v>16</v>
      </c>
      <c r="B3" s="14" t="s">
        <v>18</v>
      </c>
      <c r="C3" s="14" t="s">
        <v>15</v>
      </c>
      <c r="D3" s="14" t="s">
        <v>15</v>
      </c>
      <c r="E3" s="2">
        <v>13</v>
      </c>
      <c r="F3" s="15">
        <v>910</v>
      </c>
      <c r="G3" s="2">
        <f t="shared" si="0"/>
        <v>11830</v>
      </c>
      <c r="H3" s="3">
        <v>890</v>
      </c>
      <c r="I3" s="3"/>
      <c r="J3" s="3">
        <f t="shared" si="1"/>
        <v>890</v>
      </c>
      <c r="K3" s="3">
        <f t="shared" si="2"/>
        <v>20</v>
      </c>
      <c r="L3" s="4">
        <f t="shared" si="3"/>
        <v>11570</v>
      </c>
      <c r="M3" s="4">
        <f t="shared" si="4"/>
        <v>260</v>
      </c>
      <c r="N3" s="13" t="str">
        <f t="shared" si="5"/>
        <v>KEEP SELLING</v>
      </c>
      <c r="P3" s="10">
        <f>SUM(G3:G3)</f>
        <v>11830</v>
      </c>
      <c r="Q3" s="9">
        <f>SUM(L3)</f>
        <v>11570</v>
      </c>
    </row>
  </sheetData>
  <autoFilter ref="A1:N3" xr:uid="{824B3D37-9A6F-4650-B475-D01F00096AE9}"/>
  <conditionalFormatting sqref="H2:I3 K2:N3">
    <cfRule type="cellIs" dxfId="2" priority="1" operator="lessThan">
      <formula>0</formula>
    </cfRule>
  </conditionalFormatting>
  <conditionalFormatting sqref="N1:N1048576">
    <cfRule type="containsText" dxfId="1" priority="23" operator="containsText" text="DO NOT SELL">
      <formula>NOT(ISERROR(SEARCH("DO NOT SELL",N1)))</formula>
    </cfRule>
    <cfRule type="containsText" dxfId="0" priority="2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2025-12-23T15:02:26Z</dcterms:modified>
  <cp:category/>
  <cp:contentStatus/>
</cp:coreProperties>
</file>