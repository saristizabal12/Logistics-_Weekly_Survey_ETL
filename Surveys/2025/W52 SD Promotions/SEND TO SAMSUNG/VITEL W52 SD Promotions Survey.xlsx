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52 SD Promotions\SEND TO SAMSUNG\"/>
    </mc:Choice>
  </mc:AlternateContent>
  <xr:revisionPtr revIDLastSave="0" documentId="13_ncr:1_{7BAD77B4-5AC2-405D-8BF3-0948F46B1D1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definedNames>
    <definedName name="_xlnm._FilterDatabase" localSheetId="0" hidden="1">Sheet1!$A$1:$O$3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M3" i="1" s="1"/>
  <c r="K2" i="1"/>
  <c r="M2" i="1" s="1"/>
  <c r="L3" i="1"/>
  <c r="L2" i="1"/>
</calcChain>
</file>

<file path=xl/sharedStrings.xml><?xml version="1.0" encoding="utf-8"?>
<sst xmlns="http://schemas.openxmlformats.org/spreadsheetml/2006/main" count="27" uniqueCount="24">
  <si>
    <t>Condition Document No</t>
  </si>
  <si>
    <t>Condition Text</t>
  </si>
  <si>
    <t>Group Condition Document No</t>
  </si>
  <si>
    <t>Customer Text</t>
  </si>
  <si>
    <t>Product</t>
  </si>
  <si>
    <t>Product Text</t>
  </si>
  <si>
    <t>Start Date of Condition</t>
  </si>
  <si>
    <t>End Date of Condition</t>
  </si>
  <si>
    <t>G-S25-ULTRA</t>
  </si>
  <si>
    <t>VITEL MOBILE, INC.</t>
  </si>
  <si>
    <t>G-TAB-A11</t>
  </si>
  <si>
    <t>A2S3A0A250000468</t>
  </si>
  <si>
    <t>A0S3A0A250001239</t>
  </si>
  <si>
    <t>VITEL W51-W52 S25 Ultra OM ST Promo</t>
  </si>
  <si>
    <t>A0S3A0A250001248</t>
  </si>
  <si>
    <t>VITEL W51-W52 A11 OM ST Promo</t>
  </si>
  <si>
    <t>A2S3A0A250000469</t>
  </si>
  <si>
    <t>Incentive</t>
  </si>
  <si>
    <t>AS-IS Quantity</t>
  </si>
  <si>
    <t>TO-BE Quantity</t>
  </si>
  <si>
    <t>DELTA Quantity</t>
  </si>
  <si>
    <t>DELTA Amt($)</t>
  </si>
  <si>
    <t>TO-BE Amt($)</t>
  </si>
  <si>
    <t>AS-IS Amt($)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</si>
</sst>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yyyy/mm/dd"/>
  </numFmts>
  <fonts count="2" x14ac:knownFonts="1">
    <font>
      <sz val="10"/>
      <color theme="1"/>
      <name val="Calibri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8" fontId="0" fillId="3" borderId="1" xfId="0" applyNumberFormat="1" applyFill="1" applyBorder="1"/>
    <xf numFmtId="3" fontId="0" fillId="3" borderId="1" xfId="0" applyNumberFormat="1" applyFill="1" applyBorder="1"/>
    <xf numFmtId="8" fontId="0" fillId="4" borderId="1" xfId="0" applyNumberFormat="1" applyFill="1" applyBorder="1"/>
    <xf numFmtId="3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showGridLines="0" tabSelected="1" workbookViewId="0">
      <pane ySplit="1" topLeftCell="A2" activePane="bottomLeft" state="frozen"/>
      <selection pane="bottomLeft" activeCell="J3" sqref="J3"/>
    </sheetView>
  </sheetViews>
  <sheetFormatPr defaultRowHeight="12.75" x14ac:dyDescent="0.2"/>
  <cols>
    <col min="1" max="1" width="22.42578125" bestFit="1" customWidth="1"/>
    <col min="2" max="2" width="38" bestFit="1" customWidth="1"/>
    <col min="3" max="3" width="28" bestFit="1" customWidth="1"/>
    <col min="4" max="4" width="32.7109375" bestFit="1" customWidth="1"/>
    <col min="5" max="6" width="16.140625" bestFit="1" customWidth="1"/>
    <col min="7" max="7" width="10.42578125" bestFit="1" customWidth="1"/>
    <col min="8" max="8" width="14.42578125" bestFit="1" customWidth="1"/>
    <col min="9" max="9" width="13.140625" bestFit="1" customWidth="1"/>
    <col min="10" max="10" width="15.140625" bestFit="1" customWidth="1"/>
    <col min="11" max="11" width="13.85546875" bestFit="1" customWidth="1"/>
    <col min="12" max="12" width="15.5703125" bestFit="1" customWidth="1"/>
    <col min="13" max="13" width="14.140625" bestFit="1" customWidth="1"/>
    <col min="14" max="14" width="21.5703125" bestFit="1" customWidth="1"/>
    <col min="15" max="15" width="20.57031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18</v>
      </c>
      <c r="I1" s="1" t="s">
        <v>23</v>
      </c>
      <c r="J1" s="1" t="s">
        <v>19</v>
      </c>
      <c r="K1" s="1" t="s">
        <v>22</v>
      </c>
      <c r="L1" s="1" t="s">
        <v>20</v>
      </c>
      <c r="M1" s="1" t="s">
        <v>21</v>
      </c>
      <c r="N1" s="1" t="s">
        <v>6</v>
      </c>
      <c r="O1" s="1" t="s">
        <v>7</v>
      </c>
    </row>
    <row r="2" spans="1:15" x14ac:dyDescent="0.2">
      <c r="A2" s="2" t="s">
        <v>12</v>
      </c>
      <c r="B2" s="2" t="s">
        <v>13</v>
      </c>
      <c r="C2" s="2" t="s">
        <v>11</v>
      </c>
      <c r="D2" s="2" t="s">
        <v>9</v>
      </c>
      <c r="E2" s="2" t="s">
        <v>8</v>
      </c>
      <c r="F2" s="2" t="s">
        <v>8</v>
      </c>
      <c r="G2" s="6">
        <v>50</v>
      </c>
      <c r="H2" s="7">
        <v>1278</v>
      </c>
      <c r="I2" s="6">
        <v>63900</v>
      </c>
      <c r="J2" s="5">
        <v>947</v>
      </c>
      <c r="K2" s="4">
        <f t="shared" ref="K2:K3" si="0">J2*G2</f>
        <v>47350</v>
      </c>
      <c r="L2" s="7">
        <f t="shared" ref="L2:L3" si="1">J2-H2</f>
        <v>-331</v>
      </c>
      <c r="M2" s="6">
        <f t="shared" ref="M2:M3" si="2">K2-I2</f>
        <v>-16550</v>
      </c>
      <c r="N2" s="3">
        <v>46006</v>
      </c>
      <c r="O2" s="3">
        <v>46019</v>
      </c>
    </row>
    <row r="3" spans="1:15" x14ac:dyDescent="0.2">
      <c r="A3" s="2" t="s">
        <v>14</v>
      </c>
      <c r="B3" s="2" t="s">
        <v>15</v>
      </c>
      <c r="C3" s="2" t="s">
        <v>16</v>
      </c>
      <c r="D3" s="2" t="s">
        <v>9</v>
      </c>
      <c r="E3" s="2" t="s">
        <v>10</v>
      </c>
      <c r="F3" s="2" t="s">
        <v>10</v>
      </c>
      <c r="G3" s="6">
        <v>13</v>
      </c>
      <c r="H3" s="7">
        <v>910</v>
      </c>
      <c r="I3" s="6">
        <v>11830</v>
      </c>
      <c r="J3" s="5">
        <v>890</v>
      </c>
      <c r="K3" s="4">
        <f t="shared" si="0"/>
        <v>11570</v>
      </c>
      <c r="L3" s="7">
        <f t="shared" si="1"/>
        <v>-20</v>
      </c>
      <c r="M3" s="6">
        <f t="shared" si="2"/>
        <v>-260</v>
      </c>
      <c r="N3" s="3">
        <v>46006</v>
      </c>
      <c r="O3" s="3">
        <v>46019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2025-12-22T14:09:30Z</dcterms:created>
  <dcterms:modified xsi:type="dcterms:W3CDTF">2025-12-23T15:02:35Z</dcterms:modified>
  <cp:category/>
</cp:coreProperties>
</file>