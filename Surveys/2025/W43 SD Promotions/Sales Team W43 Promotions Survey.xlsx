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3 SD Promotions\"/>
    </mc:Choice>
  </mc:AlternateContent>
  <xr:revisionPtr revIDLastSave="0" documentId="13_ncr:1_{9593C3BA-573A-4DEC-835F-6683D8E44897}" xr6:coauthVersionLast="47" xr6:coauthVersionMax="47" xr10:uidLastSave="{00000000-0000-0000-0000-000000000000}"/>
  <bookViews>
    <workbookView xWindow="-105" yWindow="0" windowWidth="26010" windowHeight="20985" activeTab="2" xr2:uid="{00000000-000D-0000-FFFF-FFFF00000000}"/>
  </bookViews>
  <sheets>
    <sheet name="Old" sheetId="16" r:id="rId1"/>
    <sheet name="Sent to Samsung" sheetId="13" r:id="rId2"/>
    <sheet name="AS of now" sheetId="17" r:id="rId3"/>
  </sheets>
  <definedNames>
    <definedName name="_xlnm._FilterDatabase" localSheetId="2" hidden="1">'AS of now'!$A$1:$N$3</definedName>
    <definedName name="_xlnm._FilterDatabase" localSheetId="0" hidden="1">Old!$A$1:$N$3</definedName>
    <definedName name="_xlnm._FilterDatabase" localSheetId="1" hidden="1">'Sent to Samsung'!$A$1:$N$3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7" l="1"/>
  <c r="I8" i="17"/>
  <c r="K4" i="17"/>
  <c r="J4" i="17"/>
  <c r="L4" i="17" s="1"/>
  <c r="R3" i="17" s="1"/>
  <c r="G4" i="17"/>
  <c r="M4" i="17" s="1"/>
  <c r="N4" i="17" s="1"/>
  <c r="Q3" i="17"/>
  <c r="T2" i="17" s="1"/>
  <c r="J3" i="17"/>
  <c r="K3" i="17" s="1"/>
  <c r="G3" i="17"/>
  <c r="J2" i="17"/>
  <c r="L2" i="17" s="1"/>
  <c r="G2" i="17"/>
  <c r="J4" i="16"/>
  <c r="L4" i="16" s="1"/>
  <c r="R3" i="16" s="1"/>
  <c r="G4" i="16"/>
  <c r="M4" i="16" s="1"/>
  <c r="N4" i="16" s="1"/>
  <c r="Q3" i="16"/>
  <c r="T2" i="16" s="1"/>
  <c r="J3" i="16"/>
  <c r="L3" i="16" s="1"/>
  <c r="M3" i="16" s="1"/>
  <c r="N3" i="16" s="1"/>
  <c r="G3" i="16"/>
  <c r="J2" i="16"/>
  <c r="L2" i="16" s="1"/>
  <c r="G2" i="16"/>
  <c r="Q2" i="16" s="1"/>
  <c r="Q3" i="13"/>
  <c r="G4" i="13"/>
  <c r="G3" i="13"/>
  <c r="G2" i="13"/>
  <c r="J4" i="13"/>
  <c r="L4" i="13" s="1"/>
  <c r="R3" i="13" s="1"/>
  <c r="T2" i="13" s="1"/>
  <c r="J3" i="13"/>
  <c r="L3" i="13" s="1"/>
  <c r="M3" i="13" s="1"/>
  <c r="N3" i="13" s="1"/>
  <c r="Q2" i="13"/>
  <c r="J2" i="13"/>
  <c r="K2" i="13" s="1"/>
  <c r="L3" i="17" l="1"/>
  <c r="M3" i="17" s="1"/>
  <c r="N3" i="17" s="1"/>
  <c r="M2" i="17"/>
  <c r="N2" i="17" s="1"/>
  <c r="K2" i="17"/>
  <c r="Q2" i="17"/>
  <c r="K3" i="16"/>
  <c r="R2" i="16"/>
  <c r="S2" i="16" s="1"/>
  <c r="M2" i="16"/>
  <c r="N2" i="16" s="1"/>
  <c r="K2" i="16"/>
  <c r="K4" i="16"/>
  <c r="M4" i="13"/>
  <c r="N4" i="13" s="1"/>
  <c r="K4" i="13"/>
  <c r="L2" i="13"/>
  <c r="R2" i="13" s="1"/>
  <c r="S2" i="13" s="1"/>
  <c r="K3" i="13"/>
  <c r="R2" i="17" l="1"/>
  <c r="S2" i="17" s="1"/>
  <c r="M2" i="13"/>
  <c r="N2" i="13" s="1"/>
</calcChain>
</file>

<file path=xl/sharedStrings.xml><?xml version="1.0" encoding="utf-8"?>
<sst xmlns="http://schemas.openxmlformats.org/spreadsheetml/2006/main" count="83" uniqueCount="21">
  <si>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</si>
  <si>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</si>
  <si>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</si>
  <si>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</si>
  <si>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</si>
  <si>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</si>
  <si>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</si>
  <si>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</si>
  <si>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</si>
  <si>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</si>
  <si>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</si>
  <si>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</si>
  <si>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</si>
  <si>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G-WATCH8</t>
  </si>
  <si>
    <t>G-WATCH8-CLASSIC</t>
  </si>
  <si>
    <t>A0S3A0A250000988</t>
  </si>
  <si>
    <t>A0S3A0A250001003</t>
  </si>
  <si>
    <t>W41-W43 (A9) OM ST Promo</t>
  </si>
  <si>
    <t>W41-W43 (WATCH8+Classic) Sustain ST Promo</t>
  </si>
  <si>
    <t>A9</t>
  </si>
  <si>
    <t>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</si>
</sst>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1" fontId="0" fillId="4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8DEF-3B14-40A2-B363-602C1B8ED311}">
  <dimension ref="A1:T4"/>
  <sheetViews>
    <sheetView showGridLines="0" zoomScale="85" zoomScaleNormal="85" workbookViewId="0">
      <pane ySplit="1" topLeftCell="A2" activePane="bottomLeft" state="frozen"/>
      <selection pane="bottomLeft" activeCell="I4" sqref="I4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19" width="11.28515625" bestFit="1" customWidth="1"/>
    <col min="20" max="20" width="10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20</v>
      </c>
      <c r="T1" s="11">
        <v>1003</v>
      </c>
    </row>
    <row r="2" spans="1:20" ht="18" customHeight="1" x14ac:dyDescent="0.2">
      <c r="A2" s="16" t="s">
        <v>15</v>
      </c>
      <c r="B2" s="16" t="s">
        <v>18</v>
      </c>
      <c r="C2" s="14" t="s">
        <v>13</v>
      </c>
      <c r="D2" s="14" t="s">
        <v>13</v>
      </c>
      <c r="E2" s="2">
        <v>43</v>
      </c>
      <c r="F2" s="13">
        <v>1171</v>
      </c>
      <c r="G2" s="2">
        <f>E2*F2</f>
        <v>50353</v>
      </c>
      <c r="H2" s="3">
        <v>703</v>
      </c>
      <c r="I2" s="3">
        <v>20</v>
      </c>
      <c r="J2" s="3">
        <f t="shared" ref="J2:J4" si="0">H2+I2</f>
        <v>723</v>
      </c>
      <c r="K2" s="3">
        <f t="shared" ref="K2:K4" si="1">F2-J2</f>
        <v>448</v>
      </c>
      <c r="L2" s="4">
        <f t="shared" ref="L2:L4" si="2">J2*E2</f>
        <v>31089</v>
      </c>
      <c r="M2" s="4">
        <f t="shared" ref="M2:M4" si="3">G2-L2</f>
        <v>19264</v>
      </c>
      <c r="N2" s="15" t="str">
        <f t="shared" ref="N2:N4" si="4">IF(M2&gt;0,"KEEP SELLING", "DO NOT SELL")</f>
        <v>KEEP SELLING</v>
      </c>
      <c r="Q2" s="10">
        <f>SUM(G2:G3)</f>
        <v>96707</v>
      </c>
      <c r="R2" s="9">
        <f>SUM(L2:L3)</f>
        <v>55729</v>
      </c>
      <c r="S2" s="12">
        <f>Q2-R2</f>
        <v>40978</v>
      </c>
      <c r="T2" s="12">
        <f>Q3-R3</f>
        <v>0</v>
      </c>
    </row>
    <row r="3" spans="1:20" ht="18" customHeight="1" x14ac:dyDescent="0.2">
      <c r="A3" s="16" t="s">
        <v>15</v>
      </c>
      <c r="B3" s="16" t="s">
        <v>18</v>
      </c>
      <c r="C3" s="14" t="s">
        <v>14</v>
      </c>
      <c r="D3" s="14" t="s">
        <v>14</v>
      </c>
      <c r="E3" s="2">
        <v>77</v>
      </c>
      <c r="F3" s="13">
        <v>602</v>
      </c>
      <c r="G3" s="2">
        <f t="shared" ref="G3:G4" si="5">E3*F3</f>
        <v>46354</v>
      </c>
      <c r="H3" s="3">
        <v>320</v>
      </c>
      <c r="I3" s="3"/>
      <c r="J3" s="3">
        <f t="shared" si="0"/>
        <v>320</v>
      </c>
      <c r="K3" s="3">
        <f t="shared" si="1"/>
        <v>282</v>
      </c>
      <c r="L3" s="4">
        <f t="shared" si="2"/>
        <v>24640</v>
      </c>
      <c r="M3" s="4">
        <f t="shared" si="3"/>
        <v>21714</v>
      </c>
      <c r="N3" s="15" t="str">
        <f t="shared" si="4"/>
        <v>KEEP SELLING</v>
      </c>
      <c r="Q3" s="10">
        <f>SUM(G4)</f>
        <v>80650</v>
      </c>
      <c r="R3" s="9">
        <f>SUM(L4)</f>
        <v>80650</v>
      </c>
    </row>
    <row r="4" spans="1:20" ht="18" customHeight="1" x14ac:dyDescent="0.2">
      <c r="A4" s="16" t="s">
        <v>16</v>
      </c>
      <c r="B4" s="16" t="s">
        <v>17</v>
      </c>
      <c r="C4" s="14" t="s">
        <v>19</v>
      </c>
      <c r="D4" s="14" t="s">
        <v>19</v>
      </c>
      <c r="E4" s="2">
        <v>10</v>
      </c>
      <c r="F4" s="13">
        <v>8065</v>
      </c>
      <c r="G4" s="2">
        <f t="shared" si="5"/>
        <v>80650</v>
      </c>
      <c r="H4" s="3">
        <v>8065</v>
      </c>
      <c r="I4" s="3"/>
      <c r="J4" s="3">
        <f t="shared" si="0"/>
        <v>8065</v>
      </c>
      <c r="K4" s="3">
        <f t="shared" si="1"/>
        <v>0</v>
      </c>
      <c r="L4" s="4">
        <f t="shared" si="2"/>
        <v>80650</v>
      </c>
      <c r="M4" s="4">
        <f t="shared" si="3"/>
        <v>0</v>
      </c>
      <c r="N4" s="15" t="str">
        <f t="shared" si="4"/>
        <v>DO NOT SELL</v>
      </c>
    </row>
  </sheetData>
  <autoFilter ref="A1:N3" xr:uid="{A56C30C6-035E-4162-8461-0B4DCCC8AFF9}">
    <sortState xmlns:xlrd2="http://schemas.microsoft.com/office/spreadsheetml/2017/richdata2" ref="A2:N3">
      <sortCondition ref="A1:A3"/>
    </sortState>
  </autoFilter>
  <conditionalFormatting sqref="H2:I4 K2:N4">
    <cfRule type="cellIs" dxfId="8" priority="1" operator="lessThan">
      <formula>0</formula>
    </cfRule>
  </conditionalFormatting>
  <conditionalFormatting sqref="N1:N1048576">
    <cfRule type="containsText" dxfId="7" priority="2" operator="containsText" text="DO NOT SELL">
      <formula>NOT(ISERROR(SEARCH("DO NOT SELL",N1)))</formula>
    </cfRule>
    <cfRule type="containsText" dxfId="6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4"/>
  <sheetViews>
    <sheetView showGridLines="0" zoomScale="85" zoomScaleNormal="85" workbookViewId="0">
      <pane ySplit="1" topLeftCell="A2" activePane="bottomLeft" state="frozen"/>
      <selection pane="bottomLeft" activeCell="J2" sqref="J2:J4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19" width="11.28515625" bestFit="1" customWidth="1"/>
    <col min="20" max="20" width="10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20</v>
      </c>
      <c r="T1" s="11">
        <v>1003</v>
      </c>
    </row>
    <row r="2" spans="1:20" ht="18" customHeight="1" x14ac:dyDescent="0.2">
      <c r="A2" s="16" t="s">
        <v>15</v>
      </c>
      <c r="B2" s="16" t="s">
        <v>18</v>
      </c>
      <c r="C2" s="14" t="s">
        <v>13</v>
      </c>
      <c r="D2" s="14" t="s">
        <v>13</v>
      </c>
      <c r="E2" s="2">
        <v>43</v>
      </c>
      <c r="F2" s="13">
        <v>1171</v>
      </c>
      <c r="G2" s="2">
        <f>E2*F2</f>
        <v>50353</v>
      </c>
      <c r="H2" s="3">
        <v>703</v>
      </c>
      <c r="I2" s="3">
        <v>220</v>
      </c>
      <c r="J2" s="3">
        <f t="shared" ref="J2:J3" si="0">H2+I2</f>
        <v>923</v>
      </c>
      <c r="K2" s="3">
        <f t="shared" ref="K2:K3" si="1">F2-J2</f>
        <v>248</v>
      </c>
      <c r="L2" s="4">
        <f t="shared" ref="L2:L3" si="2">J2*E2</f>
        <v>39689</v>
      </c>
      <c r="M2" s="4">
        <f t="shared" ref="M2:M3" si="3">G2-L2</f>
        <v>10664</v>
      </c>
      <c r="N2" s="15" t="str">
        <f t="shared" ref="N2:N3" si="4">IF(M2&gt;0,"KEEP SELLING", "DO NOT SELL")</f>
        <v>KEEP SELLING</v>
      </c>
      <c r="Q2" s="10">
        <f>SUM(G2:G3)</f>
        <v>96707</v>
      </c>
      <c r="R2" s="9">
        <f>SUM(L2:L3)</f>
        <v>72029</v>
      </c>
      <c r="S2" s="12">
        <f>Q2-R2</f>
        <v>24678</v>
      </c>
      <c r="T2" s="12">
        <f>Q3-R3</f>
        <v>0</v>
      </c>
    </row>
    <row r="3" spans="1:20" ht="18" customHeight="1" x14ac:dyDescent="0.2">
      <c r="A3" s="16" t="s">
        <v>15</v>
      </c>
      <c r="B3" s="16" t="s">
        <v>18</v>
      </c>
      <c r="C3" s="14" t="s">
        <v>14</v>
      </c>
      <c r="D3" s="14" t="s">
        <v>14</v>
      </c>
      <c r="E3" s="2">
        <v>77</v>
      </c>
      <c r="F3" s="13">
        <v>602</v>
      </c>
      <c r="G3" s="2">
        <f t="shared" ref="G3:G4" si="5">E3*F3</f>
        <v>46354</v>
      </c>
      <c r="H3" s="3">
        <v>320</v>
      </c>
      <c r="I3" s="3">
        <v>100</v>
      </c>
      <c r="J3" s="3">
        <f t="shared" si="0"/>
        <v>420</v>
      </c>
      <c r="K3" s="3">
        <f t="shared" si="1"/>
        <v>182</v>
      </c>
      <c r="L3" s="4">
        <f t="shared" si="2"/>
        <v>32340</v>
      </c>
      <c r="M3" s="4">
        <f t="shared" si="3"/>
        <v>14014</v>
      </c>
      <c r="N3" s="15" t="str">
        <f t="shared" si="4"/>
        <v>KEEP SELLING</v>
      </c>
      <c r="Q3" s="10">
        <f>SUM(G4)</f>
        <v>80650</v>
      </c>
      <c r="R3" s="9">
        <f>SUM(L4)</f>
        <v>80650</v>
      </c>
    </row>
    <row r="4" spans="1:20" ht="18" customHeight="1" x14ac:dyDescent="0.2">
      <c r="A4" s="16" t="s">
        <v>16</v>
      </c>
      <c r="B4" s="16" t="s">
        <v>17</v>
      </c>
      <c r="C4" s="14" t="s">
        <v>19</v>
      </c>
      <c r="D4" s="14" t="s">
        <v>19</v>
      </c>
      <c r="E4" s="2">
        <v>10</v>
      </c>
      <c r="F4" s="13">
        <v>8065</v>
      </c>
      <c r="G4" s="2">
        <f t="shared" si="5"/>
        <v>80650</v>
      </c>
      <c r="H4" s="3">
        <v>8065</v>
      </c>
      <c r="I4" s="3"/>
      <c r="J4" s="3">
        <f t="shared" ref="J4" si="6">H4+I4</f>
        <v>8065</v>
      </c>
      <c r="K4" s="3">
        <f t="shared" ref="K4" si="7">F4-J4</f>
        <v>0</v>
      </c>
      <c r="L4" s="4">
        <f t="shared" ref="L4" si="8">J4*E4</f>
        <v>80650</v>
      </c>
      <c r="M4" s="4">
        <f t="shared" ref="M4" si="9">G4-L4</f>
        <v>0</v>
      </c>
      <c r="N4" s="15" t="str">
        <f t="shared" ref="N4" si="10">IF(M4&gt;0,"KEEP SELLING", "DO NOT SELL")</f>
        <v>DO NOT SELL</v>
      </c>
    </row>
  </sheetData>
  <autoFilter ref="A1:N3" xr:uid="{A56C30C6-035E-4162-8461-0B4DCCC8AFF9}">
    <sortState xmlns:xlrd2="http://schemas.microsoft.com/office/spreadsheetml/2017/richdata2" ref="A2:N3">
      <sortCondition ref="A1:A3"/>
    </sortState>
  </autoFilter>
  <conditionalFormatting sqref="H2:I4 K2:N4">
    <cfRule type="cellIs" dxfId="5" priority="1" operator="lessThan">
      <formula>0</formula>
    </cfRule>
  </conditionalFormatting>
  <conditionalFormatting sqref="N1:N1048576">
    <cfRule type="containsText" dxfId="4" priority="3" operator="containsText" text="DO NOT SELL">
      <formula>NOT(ISERROR(SEARCH("DO NOT SELL",N1)))</formula>
    </cfRule>
    <cfRule type="containsText" dxfId="3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9064-E663-4CCC-A802-D9E59C5BE8C3}">
  <dimension ref="A1:T9"/>
  <sheetViews>
    <sheetView showGridLines="0" tabSelected="1" zoomScale="85" zoomScaleNormal="85" workbookViewId="0">
      <pane ySplit="1" topLeftCell="A2" activePane="bottomLeft" state="frozen"/>
      <selection pane="bottomLeft" activeCell="J7" sqref="J7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10.570312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19" width="11.28515625" bestFit="1" customWidth="1"/>
    <col min="20" max="20" width="10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20</v>
      </c>
      <c r="T1" s="11">
        <v>1003</v>
      </c>
    </row>
    <row r="2" spans="1:20" ht="18" customHeight="1" x14ac:dyDescent="0.2">
      <c r="A2" s="16" t="s">
        <v>15</v>
      </c>
      <c r="B2" s="16" t="s">
        <v>18</v>
      </c>
      <c r="C2" s="14" t="s">
        <v>13</v>
      </c>
      <c r="D2" s="14" t="s">
        <v>13</v>
      </c>
      <c r="E2" s="2">
        <v>43</v>
      </c>
      <c r="F2" s="13">
        <v>1171</v>
      </c>
      <c r="G2" s="2">
        <f>E2*F2</f>
        <v>50353</v>
      </c>
      <c r="H2" s="3">
        <v>703</v>
      </c>
      <c r="I2" s="3">
        <v>103</v>
      </c>
      <c r="J2" s="3">
        <f t="shared" ref="J2:J4" si="0">H2+I2</f>
        <v>806</v>
      </c>
      <c r="K2" s="3">
        <f t="shared" ref="K2:K4" si="1">F2-J2</f>
        <v>365</v>
      </c>
      <c r="L2" s="4">
        <f t="shared" ref="L2:L4" si="2">J2*E2</f>
        <v>34658</v>
      </c>
      <c r="M2" s="4">
        <f t="shared" ref="M2:M4" si="3">G2-L2</f>
        <v>15695</v>
      </c>
      <c r="N2" s="15" t="str">
        <f t="shared" ref="N2:N4" si="4">IF(M2&gt;0,"KEEP SELLING", "DO NOT SELL")</f>
        <v>KEEP SELLING</v>
      </c>
      <c r="Q2" s="10">
        <f>SUM(G2:G3)</f>
        <v>96707</v>
      </c>
      <c r="R2" s="9">
        <f>SUM(L2:L3)</f>
        <v>59683</v>
      </c>
      <c r="S2" s="12">
        <f>Q2-R2</f>
        <v>37024</v>
      </c>
      <c r="T2" s="12">
        <f>Q3-R3</f>
        <v>0</v>
      </c>
    </row>
    <row r="3" spans="1:20" ht="18" customHeight="1" x14ac:dyDescent="0.2">
      <c r="A3" s="16" t="s">
        <v>15</v>
      </c>
      <c r="B3" s="16" t="s">
        <v>18</v>
      </c>
      <c r="C3" s="14" t="s">
        <v>14</v>
      </c>
      <c r="D3" s="14" t="s">
        <v>14</v>
      </c>
      <c r="E3" s="2">
        <v>77</v>
      </c>
      <c r="F3" s="13">
        <v>602</v>
      </c>
      <c r="G3" s="2">
        <f t="shared" ref="G3:G4" si="5">E3*F3</f>
        <v>46354</v>
      </c>
      <c r="H3" s="3">
        <v>320</v>
      </c>
      <c r="I3" s="3">
        <v>5</v>
      </c>
      <c r="J3" s="3">
        <f t="shared" si="0"/>
        <v>325</v>
      </c>
      <c r="K3" s="3">
        <f t="shared" si="1"/>
        <v>277</v>
      </c>
      <c r="L3" s="4">
        <f t="shared" si="2"/>
        <v>25025</v>
      </c>
      <c r="M3" s="4">
        <f t="shared" si="3"/>
        <v>21329</v>
      </c>
      <c r="N3" s="15" t="str">
        <f t="shared" si="4"/>
        <v>KEEP SELLING</v>
      </c>
      <c r="Q3" s="10">
        <f>SUM(G4)</f>
        <v>80650</v>
      </c>
      <c r="R3" s="9">
        <f>SUM(L4)</f>
        <v>80650</v>
      </c>
    </row>
    <row r="4" spans="1:20" ht="18" customHeight="1" x14ac:dyDescent="0.2">
      <c r="A4" s="16" t="s">
        <v>16</v>
      </c>
      <c r="B4" s="16" t="s">
        <v>17</v>
      </c>
      <c r="C4" s="14" t="s">
        <v>19</v>
      </c>
      <c r="D4" s="14" t="s">
        <v>19</v>
      </c>
      <c r="E4" s="2">
        <v>10</v>
      </c>
      <c r="F4" s="13">
        <v>8065</v>
      </c>
      <c r="G4" s="2">
        <f t="shared" si="5"/>
        <v>80650</v>
      </c>
      <c r="H4" s="3">
        <v>8065</v>
      </c>
      <c r="I4" s="3"/>
      <c r="J4" s="3">
        <f t="shared" si="0"/>
        <v>8065</v>
      </c>
      <c r="K4" s="3">
        <f t="shared" si="1"/>
        <v>0</v>
      </c>
      <c r="L4" s="4">
        <f t="shared" si="2"/>
        <v>80650</v>
      </c>
      <c r="M4" s="4">
        <f t="shared" si="3"/>
        <v>0</v>
      </c>
      <c r="N4" s="15" t="str">
        <f t="shared" si="4"/>
        <v>DO NOT SELL</v>
      </c>
    </row>
    <row r="7" spans="1:20" ht="18" customHeight="1" x14ac:dyDescent="0.2">
      <c r="I7">
        <v>220</v>
      </c>
      <c r="J7">
        <v>100</v>
      </c>
    </row>
    <row r="8" spans="1:20" ht="18" customHeight="1" x14ac:dyDescent="0.2">
      <c r="H8" s="14" t="s">
        <v>13</v>
      </c>
      <c r="I8" s="8">
        <f>I7-I2</f>
        <v>117</v>
      </c>
    </row>
    <row r="9" spans="1:20" ht="18" customHeight="1" x14ac:dyDescent="0.2">
      <c r="H9" s="14" t="s">
        <v>14</v>
      </c>
      <c r="I9" s="8">
        <f>J7-I3</f>
        <v>95</v>
      </c>
    </row>
  </sheetData>
  <autoFilter ref="A1:N3" xr:uid="{A56C30C6-035E-4162-8461-0B4DCCC8AFF9}">
    <sortState xmlns:xlrd2="http://schemas.microsoft.com/office/spreadsheetml/2017/richdata2" ref="A2:N3">
      <sortCondition ref="A1:A3"/>
    </sortState>
  </autoFilter>
  <conditionalFormatting sqref="H2:I4 K2:N4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Sent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2025-10-23T21:18:48Z</dcterms:modified>
  <cp:category/>
  <cp:contentStatus/>
</cp:coreProperties>
</file>