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3 SD Promotions\"/>
    </mc:Choice>
  </mc:AlternateContent>
  <xr:revisionPtr revIDLastSave="0" documentId="13_ncr:1_{AB112321-E60E-4096-BBEE-DD4D99B707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M4" i="1" s="1"/>
  <c r="K3" i="1"/>
  <c r="K2" i="1"/>
  <c r="M2" i="1" s="1"/>
  <c r="L4" i="1"/>
  <c r="M3" i="1"/>
  <c r="L3" i="1"/>
  <c r="L2" i="1"/>
</calcChain>
</file>

<file path=xl/sharedStrings.xml><?xml version="1.0" encoding="utf-8"?>
<sst xmlns="http://schemas.openxmlformats.org/spreadsheetml/2006/main" count="33" uniqueCount="25">
  <si>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</si>
  <si>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</si>
  <si>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</si>
  <si>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</si>
  <si>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</si>
  <si>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</si>
  <si>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</si>
  <si>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</si>
  <si>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G-WATCH8</t>
  </si>
  <si>
    <t>G-WATCH8-CLASSIC</t>
  </si>
  <si>
    <t>VITEL MOBILE, INC.</t>
  </si>
  <si>
    <t>W41-W43 Watch8 Sustain ST Promo</t>
  </si>
  <si>
    <t>A2S3A0A250000372</t>
  </si>
  <si>
    <t>A0S3A0A250000988</t>
  </si>
  <si>
    <t>A2S3A0A250000376</t>
  </si>
  <si>
    <t>G-TAB-A9</t>
  </si>
  <si>
    <t>A0S3A0A250001003</t>
  </si>
  <si>
    <t>VITEL W41-W43 A9 OM ST Promo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</si>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</sst>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6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6" fontId="0" fillId="4" borderId="1" xfId="0" applyNumberFormat="1" applyFill="1" applyBorder="1"/>
    <xf numFmtId="8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showGridLines="0" tabSelected="1" workbookViewId="0">
      <pane ySplit="1" topLeftCell="A2" activePane="bottomLeft" state="frozen"/>
      <selection pane="bottomLeft" activeCell="J4" sqref="J4"/>
    </sheetView>
  </sheetViews>
  <sheetFormatPr defaultRowHeight="12.75" x14ac:dyDescent="0.2"/>
  <cols>
    <col min="1" max="1" width="27" bestFit="1" customWidth="1"/>
    <col min="2" max="2" width="43.140625" bestFit="1" customWidth="1"/>
    <col min="3" max="3" width="34" bestFit="1" customWidth="1"/>
    <col min="4" max="4" width="18" bestFit="1" customWidth="1"/>
    <col min="5" max="5" width="11" bestFit="1" customWidth="1"/>
    <col min="6" max="7" width="16" bestFit="1" customWidth="1"/>
    <col min="8" max="8" width="12" bestFit="1" customWidth="1"/>
    <col min="9" max="9" width="16" bestFit="1" customWidth="1"/>
    <col min="10" max="10" width="12" bestFit="1" customWidth="1"/>
    <col min="11" max="11" width="16" bestFit="1" customWidth="1"/>
    <col min="12" max="12" width="12" bestFit="1" customWidth="1"/>
    <col min="13" max="13" width="16" bestFit="1" customWidth="1"/>
    <col min="14" max="15" width="1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6</v>
      </c>
      <c r="O1" s="1" t="s">
        <v>7</v>
      </c>
    </row>
    <row r="2" spans="1:15" x14ac:dyDescent="0.2">
      <c r="A2" s="2" t="s">
        <v>13</v>
      </c>
      <c r="B2" s="2" t="s">
        <v>11</v>
      </c>
      <c r="C2" s="2" t="s">
        <v>12</v>
      </c>
      <c r="D2" s="2" t="s">
        <v>10</v>
      </c>
      <c r="E2" s="2" t="s">
        <v>8</v>
      </c>
      <c r="F2" s="2" t="s">
        <v>8</v>
      </c>
      <c r="G2" s="8">
        <v>43</v>
      </c>
      <c r="H2" s="6">
        <v>1171</v>
      </c>
      <c r="I2" s="7">
        <v>50353</v>
      </c>
      <c r="J2" s="5">
        <v>923</v>
      </c>
      <c r="K2" s="4">
        <f t="shared" ref="K2:K4" si="0">J2*$G2</f>
        <v>39689</v>
      </c>
      <c r="L2" s="6">
        <f t="shared" ref="L2:L4" si="1">J2-H2</f>
        <v>-248</v>
      </c>
      <c r="M2" s="7">
        <f t="shared" ref="M2:M4" si="2">K2-I2</f>
        <v>-10664</v>
      </c>
      <c r="N2" s="3">
        <v>45936</v>
      </c>
      <c r="O2" s="3">
        <v>45956</v>
      </c>
    </row>
    <row r="3" spans="1:15" x14ac:dyDescent="0.2">
      <c r="A3" s="2" t="s">
        <v>13</v>
      </c>
      <c r="B3" s="2" t="s">
        <v>11</v>
      </c>
      <c r="C3" s="2" t="s">
        <v>12</v>
      </c>
      <c r="D3" s="2" t="s">
        <v>10</v>
      </c>
      <c r="E3" s="2" t="s">
        <v>9</v>
      </c>
      <c r="F3" s="2" t="s">
        <v>9</v>
      </c>
      <c r="G3" s="8">
        <v>77</v>
      </c>
      <c r="H3" s="6">
        <v>602</v>
      </c>
      <c r="I3" s="7">
        <v>46354</v>
      </c>
      <c r="J3" s="5">
        <v>420</v>
      </c>
      <c r="K3" s="4">
        <f t="shared" si="0"/>
        <v>32340</v>
      </c>
      <c r="L3" s="6">
        <f t="shared" si="1"/>
        <v>-182</v>
      </c>
      <c r="M3" s="7">
        <f t="shared" si="2"/>
        <v>-14014</v>
      </c>
      <c r="N3" s="3">
        <v>45936</v>
      </c>
      <c r="O3" s="3">
        <v>45956</v>
      </c>
    </row>
    <row r="4" spans="1:15" x14ac:dyDescent="0.2">
      <c r="A4" s="2" t="s">
        <v>16</v>
      </c>
      <c r="B4" s="2" t="s">
        <v>17</v>
      </c>
      <c r="C4" s="2" t="s">
        <v>14</v>
      </c>
      <c r="D4" s="2" t="s">
        <v>10</v>
      </c>
      <c r="E4" s="2" t="s">
        <v>15</v>
      </c>
      <c r="F4" s="2" t="s">
        <v>15</v>
      </c>
      <c r="G4" s="8">
        <v>10</v>
      </c>
      <c r="H4" s="6">
        <v>8065</v>
      </c>
      <c r="I4" s="7">
        <v>80650</v>
      </c>
      <c r="J4" s="5">
        <v>8065</v>
      </c>
      <c r="K4" s="4">
        <f t="shared" si="0"/>
        <v>80650</v>
      </c>
      <c r="L4" s="6">
        <f t="shared" si="1"/>
        <v>0</v>
      </c>
      <c r="M4" s="7">
        <f t="shared" si="2"/>
        <v>0</v>
      </c>
      <c r="N4" s="3">
        <v>45936</v>
      </c>
      <c r="O4" s="3">
        <v>45956</v>
      </c>
    </row>
  </sheetData>
  <autoFilter ref="A1:O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2025-10-20T15:50:40Z</dcterms:created>
  <dcterms:modified xsi:type="dcterms:W3CDTF">2025-10-22T13:36:51Z</dcterms:modified>
  <cp:category/>
</cp:coreProperties>
</file>