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8 SD Promotions\Sales Team\"/>
    </mc:Choice>
  </mc:AlternateContent>
  <xr:revisionPtr revIDLastSave="0" documentId="13_ncr:1_{15E2959A-C955-4F33-B884-3AE03F4558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ulletin Original" sheetId="12" r:id="rId1"/>
  </sheets>
  <definedNames>
    <definedName name="_xlnm._FilterDatabase" localSheetId="0" hidden="1">'Bulletin Original'!$A$1:$N$10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2" l="1"/>
  <c r="K6" i="12" s="1"/>
  <c r="Q3" i="12"/>
  <c r="J10" i="12"/>
  <c r="L10" i="12" s="1"/>
  <c r="J9" i="12"/>
  <c r="L9" i="12" s="1"/>
  <c r="J8" i="12"/>
  <c r="L8" i="12" s="1"/>
  <c r="J7" i="12"/>
  <c r="L7" i="12" s="1"/>
  <c r="J5" i="12"/>
  <c r="K5" i="12" s="1"/>
  <c r="J4" i="12"/>
  <c r="K4" i="12" s="1"/>
  <c r="J3" i="12"/>
  <c r="L3" i="12" s="1"/>
  <c r="J2" i="12"/>
  <c r="K2" i="12" s="1"/>
  <c r="R3" i="12" l="1"/>
  <c r="Q2" i="12"/>
  <c r="L6" i="12"/>
  <c r="M3" i="12"/>
  <c r="N3" i="12" s="1"/>
  <c r="M9" i="12"/>
  <c r="N9" i="12" s="1"/>
  <c r="M7" i="12"/>
  <c r="N7" i="12" s="1"/>
  <c r="L4" i="12"/>
  <c r="M4" i="12" s="1"/>
  <c r="N4" i="12" s="1"/>
  <c r="K3" i="12"/>
  <c r="L5" i="12"/>
  <c r="M5" i="12" s="1"/>
  <c r="N5" i="12" s="1"/>
  <c r="M8" i="12"/>
  <c r="N8" i="12" s="1"/>
  <c r="M10" i="12"/>
  <c r="N10" i="12" s="1"/>
  <c r="L2" i="12"/>
  <c r="K10" i="12"/>
  <c r="K8" i="12"/>
  <c r="K7" i="12"/>
  <c r="K9" i="12"/>
  <c r="R2" i="12" l="1"/>
  <c r="S2" i="12" s="1"/>
  <c r="M6" i="12"/>
  <c r="N6" i="12" s="1"/>
  <c r="T2" i="12"/>
  <c r="M2" i="12"/>
  <c r="N2" i="12" s="1"/>
</calcChain>
</file>

<file path=xl/sharedStrings.xml><?xml version="1.0" encoding="utf-8"?>
<sst xmlns="http://schemas.openxmlformats.org/spreadsheetml/2006/main" count="52" uniqueCount="30">
  <si>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</si>
  <si>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</si>
  <si>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</si>
  <si>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</si>
  <si>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</si>
  <si>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</si>
  <si>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</si>
  <si>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</si>
  <si>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</si>
  <si>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</si>
  <si>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</si>
  <si>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</si>
  <si>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</si>
  <si>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A0S3A0A250000902</t>
  </si>
  <si>
    <t>A0S3A0A250000894</t>
  </si>
  <si>
    <t>VITEL W35-W37 M55 OM ST Promo</t>
  </si>
  <si>
    <t>VITEL W35-W37 Watch8 Launching ST Promo</t>
  </si>
  <si>
    <t>A0S3A0A250000882</t>
  </si>
  <si>
    <t>VITEL W35-W37 A56 12+256GB OM ST Promo</t>
  </si>
  <si>
    <t>SM-A566ELIDTPA</t>
  </si>
  <si>
    <t>SM-X820NZADTPA</t>
  </si>
  <si>
    <t>SM-X820NZSDTPA</t>
  </si>
  <si>
    <t>SM-X920NZADTPA</t>
  </si>
  <si>
    <t>SM-X920NZSDTPA</t>
  </si>
  <si>
    <t>SM-A566EZADTPA</t>
  </si>
  <si>
    <t>SM-A566EZGDTPA</t>
  </si>
  <si>
    <t>SM-A566EZKDGTO</t>
  </si>
  <si>
    <t>SM-A566EZKDTPA</t>
  </si>
  <si>
    <t>0882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</si>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</sst>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1" fontId="0" fillId="4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4C25-6CEF-4A70-8F2E-9C1D1F4638B8}">
  <dimension ref="A1:T13"/>
  <sheetViews>
    <sheetView showGridLines="0" tabSelected="1" zoomScale="115" zoomScaleNormal="115" workbookViewId="0">
      <pane ySplit="1" topLeftCell="A2" activePane="bottomLeft" state="frozen"/>
      <selection pane="bottomLeft" activeCell="R2" sqref="R2"/>
    </sheetView>
  </sheetViews>
  <sheetFormatPr defaultRowHeight="18" customHeight="1" x14ac:dyDescent="0.2"/>
  <cols>
    <col min="1" max="1" width="20.28515625" bestFit="1" customWidth="1"/>
    <col min="2" max="2" width="32" bestFit="1" customWidth="1"/>
    <col min="3" max="4" width="16.28515625" bestFit="1" customWidth="1"/>
    <col min="5" max="5" width="8.5703125" bestFit="1" customWidth="1"/>
    <col min="6" max="6" width="8.140625" style="10" bestFit="1" customWidth="1"/>
    <col min="7" max="7" width="11.7109375" bestFit="1" customWidth="1"/>
    <col min="8" max="8" width="7.85546875" style="10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8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6" t="s">
        <v>12</v>
      </c>
      <c r="S1" s="13" t="s">
        <v>28</v>
      </c>
      <c r="T1" s="14" t="s">
        <v>29</v>
      </c>
    </row>
    <row r="2" spans="1:20" ht="18" customHeight="1" x14ac:dyDescent="0.2">
      <c r="A2" s="17" t="s">
        <v>17</v>
      </c>
      <c r="B2" s="17" t="s">
        <v>18</v>
      </c>
      <c r="C2" s="17" t="s">
        <v>19</v>
      </c>
      <c r="D2" s="17" t="s">
        <v>19</v>
      </c>
      <c r="E2" s="3">
        <v>40</v>
      </c>
      <c r="F2" s="16">
        <v>496</v>
      </c>
      <c r="G2" s="3">
        <v>19840</v>
      </c>
      <c r="H2" s="4">
        <v>351</v>
      </c>
      <c r="I2" s="4"/>
      <c r="J2" s="4">
        <f t="shared" ref="J2:J10" si="0">H2+I2</f>
        <v>351</v>
      </c>
      <c r="K2" s="4">
        <f t="shared" ref="K2:K10" si="1">F2-J2</f>
        <v>145</v>
      </c>
      <c r="L2" s="5">
        <f t="shared" ref="L2:L10" si="2">J2*E2</f>
        <v>14040</v>
      </c>
      <c r="M2" s="5">
        <f t="shared" ref="M2:M10" si="3">G2-L2</f>
        <v>5800</v>
      </c>
      <c r="N2" s="18" t="str">
        <f t="shared" ref="N2:N10" si="4">IF(M2&gt;0,"KEEP SELLING", "DO NOT SELL")</f>
        <v>KEEP SELLING</v>
      </c>
      <c r="Q2" s="12">
        <f>SUM(G2:G6)</f>
        <v>91600</v>
      </c>
      <c r="R2" s="11">
        <f>SUM(L2:L6)</f>
        <v>132240</v>
      </c>
      <c r="S2" s="15">
        <f>Q2-R2</f>
        <v>-40640</v>
      </c>
      <c r="T2" s="15">
        <f>Q3-R3</f>
        <v>7050</v>
      </c>
    </row>
    <row r="3" spans="1:20" ht="18" customHeight="1" x14ac:dyDescent="0.2">
      <c r="A3" s="17" t="s">
        <v>17</v>
      </c>
      <c r="B3" s="17" t="s">
        <v>18</v>
      </c>
      <c r="C3" s="17" t="s">
        <v>24</v>
      </c>
      <c r="D3" s="17" t="s">
        <v>24</v>
      </c>
      <c r="E3" s="3">
        <v>40</v>
      </c>
      <c r="F3" s="16">
        <v>655</v>
      </c>
      <c r="G3" s="3">
        <v>26200</v>
      </c>
      <c r="H3" s="4">
        <v>951</v>
      </c>
      <c r="I3" s="4">
        <v>93</v>
      </c>
      <c r="J3" s="4">
        <f t="shared" si="0"/>
        <v>1044</v>
      </c>
      <c r="K3" s="4">
        <f t="shared" si="1"/>
        <v>-389</v>
      </c>
      <c r="L3" s="5">
        <f t="shared" si="2"/>
        <v>41760</v>
      </c>
      <c r="M3" s="5">
        <f t="shared" si="3"/>
        <v>-15560</v>
      </c>
      <c r="N3" s="18" t="str">
        <f t="shared" si="4"/>
        <v>DO NOT SELL</v>
      </c>
      <c r="Q3" s="12">
        <f>SUM(G7:G10)</f>
        <v>7050</v>
      </c>
      <c r="R3" s="11">
        <f>SUM(L7:L10)</f>
        <v>0</v>
      </c>
    </row>
    <row r="4" spans="1:20" ht="18" customHeight="1" x14ac:dyDescent="0.2">
      <c r="A4" s="17" t="s">
        <v>17</v>
      </c>
      <c r="B4" s="17" t="s">
        <v>18</v>
      </c>
      <c r="C4" s="17" t="s">
        <v>25</v>
      </c>
      <c r="D4" s="17" t="s">
        <v>25</v>
      </c>
      <c r="E4" s="3">
        <v>40</v>
      </c>
      <c r="F4" s="16">
        <v>335</v>
      </c>
      <c r="G4" s="3">
        <v>13400</v>
      </c>
      <c r="H4" s="4">
        <v>552</v>
      </c>
      <c r="I4" s="4">
        <v>87</v>
      </c>
      <c r="J4" s="4">
        <f t="shared" si="0"/>
        <v>639</v>
      </c>
      <c r="K4" s="4">
        <f t="shared" si="1"/>
        <v>-304</v>
      </c>
      <c r="L4" s="5">
        <f t="shared" si="2"/>
        <v>25560</v>
      </c>
      <c r="M4" s="5">
        <f t="shared" si="3"/>
        <v>-12160</v>
      </c>
      <c r="N4" s="18" t="str">
        <f t="shared" si="4"/>
        <v>DO NOT SELL</v>
      </c>
      <c r="Q4" s="12"/>
      <c r="R4" s="11"/>
    </row>
    <row r="5" spans="1:20" s="19" customFormat="1" ht="18" customHeight="1" x14ac:dyDescent="0.2">
      <c r="A5" s="17" t="s">
        <v>17</v>
      </c>
      <c r="B5" s="17" t="s">
        <v>18</v>
      </c>
      <c r="C5" s="17" t="s">
        <v>26</v>
      </c>
      <c r="D5" s="17" t="s">
        <v>26</v>
      </c>
      <c r="E5" s="3">
        <v>40</v>
      </c>
      <c r="F5" s="16">
        <v>1</v>
      </c>
      <c r="G5" s="3">
        <v>40</v>
      </c>
      <c r="H5" s="4">
        <v>0</v>
      </c>
      <c r="I5" s="4"/>
      <c r="J5" s="4">
        <f t="shared" si="0"/>
        <v>0</v>
      </c>
      <c r="K5" s="4">
        <f t="shared" si="1"/>
        <v>1</v>
      </c>
      <c r="L5" s="5">
        <f t="shared" si="2"/>
        <v>0</v>
      </c>
      <c r="M5" s="5">
        <f t="shared" si="3"/>
        <v>40</v>
      </c>
      <c r="N5" s="18" t="str">
        <f t="shared" si="4"/>
        <v>KEEP SELLING</v>
      </c>
      <c r="Q5" s="20"/>
      <c r="R5" s="21"/>
    </row>
    <row r="6" spans="1:20" s="19" customFormat="1" ht="18" customHeight="1" x14ac:dyDescent="0.2">
      <c r="A6" s="17" t="s">
        <v>17</v>
      </c>
      <c r="B6" s="17" t="s">
        <v>18</v>
      </c>
      <c r="C6" s="17" t="s">
        <v>27</v>
      </c>
      <c r="D6" s="17" t="s">
        <v>27</v>
      </c>
      <c r="E6" s="3">
        <v>40</v>
      </c>
      <c r="F6" s="16">
        <v>803</v>
      </c>
      <c r="G6" s="3">
        <v>32120</v>
      </c>
      <c r="H6" s="4">
        <v>1150</v>
      </c>
      <c r="I6" s="4">
        <v>122</v>
      </c>
      <c r="J6" s="4">
        <f t="shared" si="0"/>
        <v>1272</v>
      </c>
      <c r="K6" s="4">
        <f t="shared" si="1"/>
        <v>-469</v>
      </c>
      <c r="L6" s="5">
        <f t="shared" si="2"/>
        <v>50880</v>
      </c>
      <c r="M6" s="5">
        <f t="shared" si="3"/>
        <v>-18760</v>
      </c>
      <c r="N6" s="18" t="str">
        <f t="shared" si="4"/>
        <v>DO NOT SELL</v>
      </c>
      <c r="Q6" s="20"/>
      <c r="R6" s="21"/>
    </row>
    <row r="7" spans="1:20" s="19" customFormat="1" ht="18" customHeight="1" x14ac:dyDescent="0.2">
      <c r="A7" s="2" t="s">
        <v>14</v>
      </c>
      <c r="B7" s="2" t="s">
        <v>15</v>
      </c>
      <c r="C7" s="2" t="s">
        <v>20</v>
      </c>
      <c r="D7" s="2" t="s">
        <v>20</v>
      </c>
      <c r="E7" s="3">
        <v>30</v>
      </c>
      <c r="F7" s="16">
        <v>26</v>
      </c>
      <c r="G7" s="3">
        <v>780</v>
      </c>
      <c r="H7" s="4"/>
      <c r="I7" s="4"/>
      <c r="J7" s="4">
        <f t="shared" si="0"/>
        <v>0</v>
      </c>
      <c r="K7" s="4">
        <f t="shared" si="1"/>
        <v>26</v>
      </c>
      <c r="L7" s="5">
        <f t="shared" si="2"/>
        <v>0</v>
      </c>
      <c r="M7" s="5">
        <f t="shared" si="3"/>
        <v>780</v>
      </c>
      <c r="N7" s="7" t="str">
        <f t="shared" si="4"/>
        <v>KEEP SELLING</v>
      </c>
      <c r="Q7" s="20"/>
      <c r="R7" s="21"/>
    </row>
    <row r="8" spans="1:20" s="19" customFormat="1" ht="18" customHeight="1" x14ac:dyDescent="0.2">
      <c r="A8" s="2" t="s">
        <v>14</v>
      </c>
      <c r="B8" s="2" t="s">
        <v>15</v>
      </c>
      <c r="C8" s="2" t="s">
        <v>21</v>
      </c>
      <c r="D8" s="2" t="s">
        <v>21</v>
      </c>
      <c r="E8" s="3">
        <v>30</v>
      </c>
      <c r="F8" s="16">
        <v>158</v>
      </c>
      <c r="G8" s="3">
        <v>4740</v>
      </c>
      <c r="H8" s="4"/>
      <c r="I8" s="4"/>
      <c r="J8" s="4">
        <f t="shared" si="0"/>
        <v>0</v>
      </c>
      <c r="K8" s="4">
        <f t="shared" si="1"/>
        <v>158</v>
      </c>
      <c r="L8" s="5">
        <f t="shared" si="2"/>
        <v>0</v>
      </c>
      <c r="M8" s="5">
        <f t="shared" si="3"/>
        <v>4740</v>
      </c>
      <c r="N8" s="7" t="str">
        <f t="shared" si="4"/>
        <v>KEEP SELLING</v>
      </c>
      <c r="Q8" s="20"/>
      <c r="R8" s="21"/>
    </row>
    <row r="9" spans="1:20" s="19" customFormat="1" ht="18" customHeight="1" x14ac:dyDescent="0.2">
      <c r="A9" s="2" t="s">
        <v>13</v>
      </c>
      <c r="B9" s="2" t="s">
        <v>16</v>
      </c>
      <c r="C9" s="2" t="s">
        <v>22</v>
      </c>
      <c r="D9" s="2" t="s">
        <v>22</v>
      </c>
      <c r="E9" s="3">
        <v>30</v>
      </c>
      <c r="F9" s="16">
        <v>26</v>
      </c>
      <c r="G9" s="3">
        <v>780</v>
      </c>
      <c r="H9" s="4"/>
      <c r="I9" s="4"/>
      <c r="J9" s="4">
        <f t="shared" si="0"/>
        <v>0</v>
      </c>
      <c r="K9" s="4">
        <f t="shared" si="1"/>
        <v>26</v>
      </c>
      <c r="L9" s="5">
        <f t="shared" si="2"/>
        <v>0</v>
      </c>
      <c r="M9" s="5">
        <f t="shared" si="3"/>
        <v>780</v>
      </c>
      <c r="N9" s="7" t="str">
        <f t="shared" si="4"/>
        <v>KEEP SELLING</v>
      </c>
    </row>
    <row r="10" spans="1:20" ht="18" customHeight="1" x14ac:dyDescent="0.2">
      <c r="A10" s="2" t="s">
        <v>13</v>
      </c>
      <c r="B10" s="2" t="s">
        <v>16</v>
      </c>
      <c r="C10" s="2" t="s">
        <v>23</v>
      </c>
      <c r="D10" s="2" t="s">
        <v>23</v>
      </c>
      <c r="E10" s="3">
        <v>30</v>
      </c>
      <c r="F10" s="16">
        <v>25</v>
      </c>
      <c r="G10" s="3">
        <v>750</v>
      </c>
      <c r="H10" s="4"/>
      <c r="I10" s="4"/>
      <c r="J10" s="4">
        <f t="shared" si="0"/>
        <v>0</v>
      </c>
      <c r="K10" s="4">
        <f t="shared" si="1"/>
        <v>25</v>
      </c>
      <c r="L10" s="5">
        <f t="shared" si="2"/>
        <v>0</v>
      </c>
      <c r="M10" s="5">
        <f t="shared" si="3"/>
        <v>750</v>
      </c>
      <c r="N10" s="7" t="str">
        <f t="shared" si="4"/>
        <v>KEEP SELLING</v>
      </c>
    </row>
    <row r="11" spans="1:20" ht="24" customHeight="1" x14ac:dyDescent="0.2"/>
    <row r="13" spans="1:20" ht="25.5" customHeight="1" x14ac:dyDescent="0.2"/>
  </sheetData>
  <autoFilter ref="A1:N13" xr:uid="{A56C30C6-035E-4162-8461-0B4DCCC8AFF9}">
    <sortState xmlns:xlrd2="http://schemas.microsoft.com/office/spreadsheetml/2017/richdata2" ref="A2:N13">
      <sortCondition ref="A1:A13"/>
    </sortState>
  </autoFilter>
  <conditionalFormatting sqref="H2:I10">
    <cfRule type="cellIs" dxfId="3" priority="1" operator="lessThan">
      <formula>0</formula>
    </cfRule>
  </conditionalFormatting>
  <conditionalFormatting sqref="K2:N10">
    <cfRule type="cellIs" dxfId="2" priority="3" operator="lessThan">
      <formula>0</formula>
    </cfRule>
  </conditionalFormatting>
  <conditionalFormatting sqref="N1:N10 N18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Bulletin 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2025-09-18T21:54:16Z</dcterms:modified>
  <cp:category/>
  <cp:contentStatus/>
</cp:coreProperties>
</file>