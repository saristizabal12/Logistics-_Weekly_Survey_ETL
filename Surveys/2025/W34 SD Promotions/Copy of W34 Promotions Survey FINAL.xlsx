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elmobille-my.sharepoint.com/personal/cgonzalez_vitelmobile_com/Documents/"/>
    </mc:Choice>
  </mc:AlternateContent>
  <xr:revisionPtr revIDLastSave="0" documentId="8_{A20EDF9D-1C3A-44C1-B1A8-BAE5043959A1}" xr6:coauthVersionLast="47" xr6:coauthVersionMax="47" xr10:uidLastSave="{00000000-0000-0000-0000-000000000000}"/>
  <bookViews>
    <workbookView xWindow="-108" yWindow="-108" windowWidth="41496" windowHeight="16896" xr2:uid="{00000000-000D-0000-FFFF-FFFF00000000}"/>
  </bookViews>
  <sheets>
    <sheet name="Sheet1" sheetId="1" r:id="rId1"/>
  </sheets>
  <definedNames>
    <definedName name="_xlnm._FilterDatabase" localSheetId="0" hidden="1">Sheet1!$A$1:$O$5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<sst xmlns="http://schemas.openxmlformats.org/spreadsheetml/2006/main" count="39" uniqueCount="26">
  <si>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</si>
  <si>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</si>
  <si>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</si>
  <si>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</si>
  <si>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</si>
  <si>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</si>
  <si>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</si>
  <si>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</si>
  <si>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</t>
  </si>
  <si>
    <t>G-S24+</t>
  </si>
  <si>
    <t>VITEL MOBILE, INC.</t>
  </si>
  <si>
    <t>G-WATCH8</t>
  </si>
  <si>
    <t>G-WATCH8-CLASSIC</t>
  </si>
  <si>
    <t>A2S3A0A250000293</t>
  </si>
  <si>
    <t>A0S3A0A250000796</t>
  </si>
  <si>
    <t>VITEL W32-W34 Watch8 Launching ST Promo</t>
  </si>
  <si>
    <t>A2S3A0A250000295</t>
  </si>
  <si>
    <t>A0S3A0A250000809</t>
  </si>
  <si>
    <t>VITEL W33-W34 S24 / S24+ OM ST Promo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</si>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</sst>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showGridLines="0" tabSelected="1" workbookViewId="0">
      <pane ySplit="1" topLeftCell="A2" activePane="bottomLeft" state="frozen"/>
      <selection pane="bottomLeft" activeCell="J3" sqref="J3"/>
    </sheetView>
  </sheetViews>
  <sheetFormatPr defaultRowHeight="13.8" x14ac:dyDescent="0.3"/>
  <cols>
    <col min="1" max="1" width="22.44140625" bestFit="1" customWidth="1"/>
    <col min="2" max="2" width="68.5546875" customWidth="1"/>
    <col min="3" max="3" width="28" bestFit="1" customWidth="1"/>
    <col min="4" max="4" width="27.88671875" bestFit="1" customWidth="1"/>
    <col min="5" max="6" width="16.109375" bestFit="1" customWidth="1"/>
    <col min="7" max="7" width="10.44140625" bestFit="1" customWidth="1"/>
    <col min="8" max="8" width="14.44140625" bestFit="1" customWidth="1"/>
    <col min="9" max="9" width="13.109375" bestFit="1" customWidth="1"/>
    <col min="10" max="10" width="15.109375" bestFit="1" customWidth="1"/>
    <col min="11" max="11" width="13.88671875" bestFit="1" customWidth="1"/>
    <col min="12" max="12" width="15.5546875" bestFit="1" customWidth="1"/>
    <col min="13" max="13" width="14.109375" bestFit="1" customWidth="1"/>
    <col min="14" max="14" width="21.5546875" bestFit="1" customWidth="1"/>
    <col min="15" max="15" width="20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6</v>
      </c>
      <c r="O1" s="1" t="s">
        <v>7</v>
      </c>
    </row>
    <row r="2" spans="1:15" x14ac:dyDescent="0.3">
      <c r="A2" s="2" t="s">
        <v>14</v>
      </c>
      <c r="B2" s="2" t="s">
        <v>15</v>
      </c>
      <c r="C2" s="2" t="s">
        <v>13</v>
      </c>
      <c r="D2" s="2" t="s">
        <v>10</v>
      </c>
      <c r="E2" s="2" t="s">
        <v>11</v>
      </c>
      <c r="F2" s="2" t="s">
        <v>11</v>
      </c>
      <c r="G2" s="6">
        <v>43</v>
      </c>
      <c r="H2" s="7">
        <v>212</v>
      </c>
      <c r="I2" s="6">
        <v>9116</v>
      </c>
      <c r="J2" s="4">
        <v>212</v>
      </c>
      <c r="K2" s="5">
        <f t="shared" ref="K2:K5" si="0">J2*G2</f>
        <v>9116</v>
      </c>
      <c r="L2" s="7">
        <f t="shared" ref="L2:L5" si="1">J2-H2</f>
        <v>0</v>
      </c>
      <c r="M2" s="6">
        <f t="shared" ref="M2:M5" si="2">K2-I2</f>
        <v>0</v>
      </c>
      <c r="N2" s="3">
        <v>45873</v>
      </c>
      <c r="O2" s="3">
        <v>45893</v>
      </c>
    </row>
    <row r="3" spans="1:15" x14ac:dyDescent="0.3">
      <c r="A3" s="2" t="s">
        <v>14</v>
      </c>
      <c r="B3" s="2" t="s">
        <v>15</v>
      </c>
      <c r="C3" s="2" t="s">
        <v>13</v>
      </c>
      <c r="D3" s="2" t="s">
        <v>10</v>
      </c>
      <c r="E3" s="2" t="s">
        <v>12</v>
      </c>
      <c r="F3" s="2" t="s">
        <v>12</v>
      </c>
      <c r="G3" s="6">
        <v>77</v>
      </c>
      <c r="H3" s="7">
        <v>258</v>
      </c>
      <c r="I3" s="6">
        <v>19866</v>
      </c>
      <c r="J3" s="4">
        <v>258</v>
      </c>
      <c r="K3" s="5">
        <f t="shared" si="0"/>
        <v>19866</v>
      </c>
      <c r="L3" s="7">
        <f t="shared" si="1"/>
        <v>0</v>
      </c>
      <c r="M3" s="6">
        <f t="shared" si="2"/>
        <v>0</v>
      </c>
      <c r="N3" s="3">
        <v>45873</v>
      </c>
      <c r="O3" s="3">
        <v>45893</v>
      </c>
    </row>
    <row r="4" spans="1:15" x14ac:dyDescent="0.3">
      <c r="A4" s="2" t="s">
        <v>17</v>
      </c>
      <c r="B4" s="2" t="s">
        <v>18</v>
      </c>
      <c r="C4" s="2" t="s">
        <v>16</v>
      </c>
      <c r="D4" s="2" t="s">
        <v>10</v>
      </c>
      <c r="E4" s="2" t="s">
        <v>8</v>
      </c>
      <c r="F4" s="2" t="s">
        <v>8</v>
      </c>
      <c r="G4" s="6">
        <v>10</v>
      </c>
      <c r="H4" s="7">
        <v>754</v>
      </c>
      <c r="I4" s="6">
        <v>7540</v>
      </c>
      <c r="J4" s="4">
        <v>47</v>
      </c>
      <c r="K4" s="5">
        <f t="shared" si="0"/>
        <v>470</v>
      </c>
      <c r="L4" s="7">
        <f t="shared" si="1"/>
        <v>-707</v>
      </c>
      <c r="M4" s="6">
        <f t="shared" si="2"/>
        <v>-7070</v>
      </c>
      <c r="N4" s="3">
        <v>45880</v>
      </c>
      <c r="O4" s="3">
        <v>45893</v>
      </c>
    </row>
    <row r="5" spans="1:15" x14ac:dyDescent="0.3">
      <c r="A5" s="2" t="s">
        <v>17</v>
      </c>
      <c r="B5" s="2" t="s">
        <v>18</v>
      </c>
      <c r="C5" s="2" t="s">
        <v>16</v>
      </c>
      <c r="D5" s="2" t="s">
        <v>10</v>
      </c>
      <c r="E5" s="2" t="s">
        <v>9</v>
      </c>
      <c r="F5" s="2" t="s">
        <v>9</v>
      </c>
      <c r="G5" s="6">
        <v>10</v>
      </c>
      <c r="H5" s="7">
        <v>1952</v>
      </c>
      <c r="I5" s="6">
        <v>19520</v>
      </c>
      <c r="J5" s="4">
        <v>200</v>
      </c>
      <c r="K5" s="5">
        <f t="shared" si="0"/>
        <v>2000</v>
      </c>
      <c r="L5" s="7">
        <f t="shared" si="1"/>
        <v>-1752</v>
      </c>
      <c r="M5" s="6">
        <f t="shared" si="2"/>
        <v>-17520</v>
      </c>
      <c r="N5" s="3">
        <v>45880</v>
      </c>
      <c r="O5" s="3">
        <v>45893</v>
      </c>
    </row>
  </sheetData>
  <autoFilter ref="A1:O5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Christina Gonzalez</cp:lastModifiedBy>
  <cp:revision>1</cp:revision>
  <dcterms:created xsi:type="dcterms:W3CDTF">2025-08-19T14:04:26Z</dcterms:created>
  <dcterms:modified xsi:type="dcterms:W3CDTF">2025-08-20T13:54:17Z</dcterms:modified>
  <cp:category/>
</cp:coreProperties>
</file>