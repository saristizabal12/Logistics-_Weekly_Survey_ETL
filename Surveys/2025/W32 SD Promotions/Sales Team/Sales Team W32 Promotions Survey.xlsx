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2 SD Promotions\Sales Team\"/>
    </mc:Choice>
  </mc:AlternateContent>
  <xr:revisionPtr revIDLastSave="0" documentId="13_ncr:1_{D9E430FF-1156-43C5-B28D-9577AC93CC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</sheets>
  <definedNames>
    <definedName name="_xlnm._FilterDatabase" localSheetId="0" hidden="1">'AS of today'!$A$1:$T$21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9" l="1"/>
  <c r="Q4" i="9"/>
  <c r="P4" i="9"/>
  <c r="S2" i="9"/>
  <c r="Q3" i="9"/>
  <c r="P3" i="9"/>
  <c r="P2" i="9"/>
  <c r="J21" i="9"/>
  <c r="K21" i="9" s="1"/>
  <c r="J20" i="9"/>
  <c r="K20" i="9" s="1"/>
  <c r="J19" i="9"/>
  <c r="K19" i="9" s="1"/>
  <c r="J18" i="9"/>
  <c r="K18" i="9" s="1"/>
  <c r="J17" i="9"/>
  <c r="K17" i="9" s="1"/>
  <c r="J16" i="9"/>
  <c r="K16" i="9" s="1"/>
  <c r="J15" i="9"/>
  <c r="K15" i="9" s="1"/>
  <c r="J14" i="9"/>
  <c r="K14" i="9" s="1"/>
  <c r="J13" i="9"/>
  <c r="K13" i="9" s="1"/>
  <c r="J12" i="9"/>
  <c r="K12" i="9" s="1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L9" i="9" l="1"/>
  <c r="M9" i="9" s="1"/>
  <c r="N9" i="9" s="1"/>
  <c r="L10" i="9"/>
  <c r="M10" i="9" s="1"/>
  <c r="N10" i="9" s="1"/>
  <c r="L11" i="9"/>
  <c r="M11" i="9" s="1"/>
  <c r="N11" i="9" s="1"/>
  <c r="L12" i="9"/>
  <c r="M12" i="9" s="1"/>
  <c r="N12" i="9" s="1"/>
  <c r="L8" i="9"/>
  <c r="M8" i="9" s="1"/>
  <c r="N8" i="9" s="1"/>
  <c r="L13" i="9"/>
  <c r="M13" i="9" s="1"/>
  <c r="N13" i="9" s="1"/>
  <c r="L2" i="9"/>
  <c r="L3" i="9"/>
  <c r="M3" i="9" s="1"/>
  <c r="N3" i="9" s="1"/>
  <c r="L15" i="9"/>
  <c r="M15" i="9" s="1"/>
  <c r="N15" i="9" s="1"/>
  <c r="L14" i="9"/>
  <c r="L4" i="9"/>
  <c r="M4" i="9" s="1"/>
  <c r="N4" i="9" s="1"/>
  <c r="L18" i="9"/>
  <c r="M18" i="9" s="1"/>
  <c r="N18" i="9" s="1"/>
  <c r="L5" i="9"/>
  <c r="M5" i="9" s="1"/>
  <c r="N5" i="9" s="1"/>
  <c r="L19" i="9"/>
  <c r="M19" i="9" s="1"/>
  <c r="N19" i="9" s="1"/>
  <c r="L6" i="9"/>
  <c r="M6" i="9" s="1"/>
  <c r="N6" i="9" s="1"/>
  <c r="L20" i="9"/>
  <c r="L7" i="9"/>
  <c r="M7" i="9" s="1"/>
  <c r="N7" i="9" s="1"/>
  <c r="L21" i="9"/>
  <c r="M21" i="9" s="1"/>
  <c r="N21" i="9" s="1"/>
  <c r="L17" i="9"/>
  <c r="M17" i="9" s="1"/>
  <c r="N17" i="9" s="1"/>
  <c r="L16" i="9"/>
  <c r="M16" i="9" s="1"/>
  <c r="N16" i="9" s="1"/>
  <c r="M2" i="9" l="1"/>
  <c r="N2" i="9" s="1"/>
  <c r="Q2" i="9"/>
  <c r="R2" i="9" s="1"/>
  <c r="M14" i="9"/>
  <c r="N14" i="9" s="1"/>
  <c r="M20" i="9"/>
  <c r="N20" i="9" s="1"/>
</calcChain>
</file>

<file path=xl/sharedStrings.xml><?xml version="1.0" encoding="utf-8"?>
<sst xmlns="http://schemas.openxmlformats.org/spreadsheetml/2006/main" count="97" uniqueCount="54">
  <si>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</si>
  <si>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</si>
  <si>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</si>
  <si>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</si>
  <si>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</si>
  <si>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</si>
  <si>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</si>
  <si>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</si>
  <si>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</si>
  <si>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</si>
  <si>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</si>
  <si>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SM-X520NLBATPA</t>
  </si>
  <si>
    <t>TABLET,SM-X520,LIGHT BLUE,TPA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</si>
  <si>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</si>
  <si>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</si>
  <si>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</si>
  <si>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</si>
  <si>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</si>
  <si>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</si>
  <si>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</si>
  <si>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</si>
  <si>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</si>
  <si>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</si>
  <si>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</si>
  <si>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</si>
  <si>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</si>
  <si>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</si>
  <si>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</si>
  <si>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</si>
  <si>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</si>
  <si>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</si>
  <si>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</si>
  <si>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</si>
  <si>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</si>
  <si>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</si>
  <si>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G-A06</t>
  </si>
  <si>
    <t>G-A36-5G</t>
  </si>
  <si>
    <t>G-A56-5G</t>
  </si>
  <si>
    <t>G-S24</t>
  </si>
  <si>
    <t>G-S24+</t>
  </si>
  <si>
    <t>G-S24-ULTRA</t>
  </si>
  <si>
    <t>G-S25</t>
  </si>
  <si>
    <t>G-S25+</t>
  </si>
  <si>
    <t>Amount difference</t>
  </si>
  <si>
    <t>A0S3A0A250000752</t>
  </si>
  <si>
    <t>VITEL W30-32 Tab S10 Series ST Promo</t>
  </si>
  <si>
    <t>VITEL W30-32MX Sell-Thru Promotion</t>
  </si>
  <si>
    <t>A0S3A0A250000757</t>
  </si>
  <si>
    <t>A0S3A0A250000765</t>
  </si>
  <si>
    <t>VITEL W30-32 S24/24+ Sell-Thru Promotion</t>
  </si>
  <si>
    <t>FINAL</t>
  </si>
  <si>
    <t>0752</t>
  </si>
  <si>
    <t>0757</t>
  </si>
  <si>
    <t>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</si>
</sst>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1" fontId="0" fillId="4" borderId="1" xfId="0" applyNumberFormat="1" applyFill="1" applyBorder="1"/>
    <xf numFmtId="0" fontId="0" fillId="5" borderId="0" xfId="0" quotePrefix="1" applyFill="1"/>
    <xf numFmtId="8" fontId="0" fillId="0" borderId="0" xfId="0" applyNumberFormat="1"/>
    <xf numFmtId="44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T21"/>
  <sheetViews>
    <sheetView showGridLines="0" tabSelected="1" zoomScaleNormal="100" workbookViewId="0">
      <pane ySplit="1" topLeftCell="A2" activePane="bottomLeft" state="frozen"/>
      <selection pane="bottomLeft" activeCell="H23" sqref="H23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customWidth="1"/>
    <col min="5" max="5" width="14.28515625" customWidth="1"/>
    <col min="6" max="6" width="14.28515625" style="11" customWidth="1"/>
    <col min="7" max="7" width="14.28515625" customWidth="1"/>
    <col min="8" max="8" width="14.28515625" style="11" customWidth="1"/>
    <col min="9" max="10" width="14.28515625" customWidth="1"/>
    <col min="11" max="11" width="9.140625" customWidth="1"/>
    <col min="12" max="12" width="12" bestFit="1" customWidth="1"/>
    <col min="13" max="13" width="16" bestFit="1" customWidth="1"/>
    <col min="14" max="14" width="11.140625" style="9" bestFit="1" customWidth="1"/>
    <col min="16" max="16" width="11.42578125" customWidth="1"/>
    <col min="17" max="17" width="11" customWidth="1"/>
    <col min="18" max="18" width="10.42578125" bestFit="1" customWidth="1"/>
    <col min="19" max="19" width="11.5703125" bestFit="1" customWidth="1"/>
    <col min="20" max="20" width="10.42578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43</v>
      </c>
      <c r="N1" s="7" t="s">
        <v>50</v>
      </c>
      <c r="R1" s="13" t="s">
        <v>51</v>
      </c>
      <c r="S1" s="13" t="s">
        <v>52</v>
      </c>
      <c r="T1" s="13" t="s">
        <v>53</v>
      </c>
    </row>
    <row r="2" spans="1:20" x14ac:dyDescent="0.2">
      <c r="A2" s="2" t="s">
        <v>44</v>
      </c>
      <c r="B2" s="2" t="s">
        <v>45</v>
      </c>
      <c r="C2" s="2" t="s">
        <v>11</v>
      </c>
      <c r="D2" s="2" t="s">
        <v>12</v>
      </c>
      <c r="E2" s="3">
        <v>30</v>
      </c>
      <c r="F2" s="12">
        <v>39</v>
      </c>
      <c r="G2" s="3">
        <v>1170</v>
      </c>
      <c r="H2" s="5">
        <v>202</v>
      </c>
      <c r="I2" s="4">
        <v>118</v>
      </c>
      <c r="J2" s="5">
        <f t="shared" ref="J2:J21" si="0">H2+I2</f>
        <v>320</v>
      </c>
      <c r="K2" s="5">
        <f>F2-J2</f>
        <v>-281</v>
      </c>
      <c r="L2" s="6">
        <f t="shared" ref="L2:L21" si="1">J2*E2</f>
        <v>9600</v>
      </c>
      <c r="M2" s="6">
        <f t="shared" ref="M2:M21" si="2">G2-L2</f>
        <v>-8430</v>
      </c>
      <c r="N2" s="8" t="str">
        <f t="shared" ref="N2:N21" si="3">IF(M2&gt;0,"KEEP SELLING", "DO NOT SELL")</f>
        <v>DO NOT SELL</v>
      </c>
      <c r="P2" s="14">
        <f>SUM(G2:G13)</f>
        <v>37530</v>
      </c>
      <c r="Q2" s="15">
        <f>SUM(L2:L13)</f>
        <v>38520</v>
      </c>
      <c r="R2" s="15">
        <f>P2-Q2</f>
        <v>-990</v>
      </c>
      <c r="S2" s="14">
        <f>P3-Q3</f>
        <v>27370</v>
      </c>
      <c r="T2" s="14">
        <f>P4-Q4</f>
        <v>40690</v>
      </c>
    </row>
    <row r="3" spans="1:20" x14ac:dyDescent="0.2">
      <c r="A3" s="2" t="s">
        <v>44</v>
      </c>
      <c r="B3" s="2" t="s">
        <v>45</v>
      </c>
      <c r="C3" s="2" t="s">
        <v>13</v>
      </c>
      <c r="D3" s="2" t="s">
        <v>14</v>
      </c>
      <c r="E3" s="3">
        <v>30</v>
      </c>
      <c r="F3" s="12">
        <v>115</v>
      </c>
      <c r="G3" s="3">
        <v>3450</v>
      </c>
      <c r="H3" s="5">
        <v>95</v>
      </c>
      <c r="I3" s="4">
        <v>35</v>
      </c>
      <c r="J3" s="5">
        <f t="shared" si="0"/>
        <v>130</v>
      </c>
      <c r="K3" s="5">
        <f t="shared" ref="K3:K12" si="4">F3-J3</f>
        <v>-15</v>
      </c>
      <c r="L3" s="6">
        <f t="shared" si="1"/>
        <v>3900</v>
      </c>
      <c r="M3" s="6">
        <f t="shared" si="2"/>
        <v>-450</v>
      </c>
      <c r="N3" s="8" t="str">
        <f t="shared" si="3"/>
        <v>DO NOT SELL</v>
      </c>
      <c r="P3" s="14">
        <f>SUM(G15:G19)</f>
        <v>42410</v>
      </c>
      <c r="Q3" s="15">
        <f>SUM(L14:L19)</f>
        <v>15040</v>
      </c>
    </row>
    <row r="4" spans="1:20" x14ac:dyDescent="0.2">
      <c r="A4" s="2" t="s">
        <v>44</v>
      </c>
      <c r="B4" s="2" t="s">
        <v>45</v>
      </c>
      <c r="C4" s="2" t="s">
        <v>15</v>
      </c>
      <c r="D4" s="2" t="s">
        <v>16</v>
      </c>
      <c r="E4" s="3">
        <v>30</v>
      </c>
      <c r="F4" s="12">
        <v>88</v>
      </c>
      <c r="G4" s="3">
        <v>2640</v>
      </c>
      <c r="H4" s="5">
        <v>126</v>
      </c>
      <c r="I4" s="4">
        <v>0</v>
      </c>
      <c r="J4" s="5">
        <f t="shared" si="0"/>
        <v>126</v>
      </c>
      <c r="K4" s="5">
        <f t="shared" si="4"/>
        <v>-38</v>
      </c>
      <c r="L4" s="6">
        <f t="shared" si="1"/>
        <v>3780</v>
      </c>
      <c r="M4" s="6">
        <f t="shared" si="2"/>
        <v>-1140</v>
      </c>
      <c r="N4" s="8" t="str">
        <f t="shared" si="3"/>
        <v>DO NOT SELL</v>
      </c>
      <c r="P4" s="14">
        <f>SUM(G20:G21)</f>
        <v>41640</v>
      </c>
      <c r="Q4" s="15">
        <f>SUM(L20:L21)</f>
        <v>950</v>
      </c>
    </row>
    <row r="5" spans="1:20" x14ac:dyDescent="0.2">
      <c r="A5" s="2" t="s">
        <v>44</v>
      </c>
      <c r="B5" s="2" t="s">
        <v>45</v>
      </c>
      <c r="C5" s="2" t="s">
        <v>17</v>
      </c>
      <c r="D5" s="2" t="s">
        <v>18</v>
      </c>
      <c r="E5" s="3">
        <v>30</v>
      </c>
      <c r="F5" s="12">
        <v>176</v>
      </c>
      <c r="G5" s="3">
        <v>5280</v>
      </c>
      <c r="H5" s="5">
        <v>91</v>
      </c>
      <c r="I5" s="4">
        <v>35</v>
      </c>
      <c r="J5" s="5">
        <f t="shared" si="0"/>
        <v>126</v>
      </c>
      <c r="K5" s="5">
        <f t="shared" si="4"/>
        <v>50</v>
      </c>
      <c r="L5" s="6">
        <f t="shared" si="1"/>
        <v>3780</v>
      </c>
      <c r="M5" s="6">
        <f t="shared" si="2"/>
        <v>1500</v>
      </c>
      <c r="N5" s="8" t="str">
        <f t="shared" si="3"/>
        <v>KEEP SELLING</v>
      </c>
    </row>
    <row r="6" spans="1:20" x14ac:dyDescent="0.2">
      <c r="A6" s="2" t="s">
        <v>44</v>
      </c>
      <c r="B6" s="2" t="s">
        <v>45</v>
      </c>
      <c r="C6" s="2" t="s">
        <v>19</v>
      </c>
      <c r="D6" s="2" t="s">
        <v>20</v>
      </c>
      <c r="E6" s="3">
        <v>30</v>
      </c>
      <c r="F6" s="12">
        <v>49</v>
      </c>
      <c r="G6" s="3">
        <v>1470</v>
      </c>
      <c r="H6" s="5">
        <v>22</v>
      </c>
      <c r="I6" s="4">
        <v>12</v>
      </c>
      <c r="J6" s="5">
        <f t="shared" si="0"/>
        <v>34</v>
      </c>
      <c r="K6" s="5">
        <f t="shared" si="4"/>
        <v>15</v>
      </c>
      <c r="L6" s="6">
        <f t="shared" si="1"/>
        <v>1020</v>
      </c>
      <c r="M6" s="6">
        <f t="shared" si="2"/>
        <v>450</v>
      </c>
      <c r="N6" s="8" t="str">
        <f t="shared" si="3"/>
        <v>KEEP SELLING</v>
      </c>
    </row>
    <row r="7" spans="1:20" x14ac:dyDescent="0.2">
      <c r="A7" s="2" t="s">
        <v>44</v>
      </c>
      <c r="B7" s="2" t="s">
        <v>45</v>
      </c>
      <c r="C7" s="2" t="s">
        <v>21</v>
      </c>
      <c r="D7" s="2" t="s">
        <v>22</v>
      </c>
      <c r="E7" s="3">
        <v>30</v>
      </c>
      <c r="F7" s="12">
        <v>49</v>
      </c>
      <c r="G7" s="3">
        <v>1470</v>
      </c>
      <c r="H7" s="5">
        <v>27</v>
      </c>
      <c r="I7" s="4">
        <v>32</v>
      </c>
      <c r="J7" s="5">
        <f t="shared" si="0"/>
        <v>59</v>
      </c>
      <c r="K7" s="5">
        <f t="shared" si="4"/>
        <v>-10</v>
      </c>
      <c r="L7" s="6">
        <f t="shared" si="1"/>
        <v>1770</v>
      </c>
      <c r="M7" s="6">
        <f t="shared" si="2"/>
        <v>-300</v>
      </c>
      <c r="N7" s="8" t="str">
        <f t="shared" si="3"/>
        <v>DO NOT SELL</v>
      </c>
    </row>
    <row r="8" spans="1:20" x14ac:dyDescent="0.2">
      <c r="A8" s="2" t="s">
        <v>44</v>
      </c>
      <c r="B8" s="2" t="s">
        <v>45</v>
      </c>
      <c r="C8" s="2" t="s">
        <v>23</v>
      </c>
      <c r="D8" s="2" t="s">
        <v>24</v>
      </c>
      <c r="E8" s="3">
        <v>30</v>
      </c>
      <c r="F8" s="12">
        <v>89</v>
      </c>
      <c r="G8" s="3">
        <v>2670</v>
      </c>
      <c r="H8" s="5">
        <v>24</v>
      </c>
      <c r="I8" s="4">
        <v>22</v>
      </c>
      <c r="J8" s="5">
        <f t="shared" si="0"/>
        <v>46</v>
      </c>
      <c r="K8" s="5">
        <f t="shared" si="4"/>
        <v>43</v>
      </c>
      <c r="L8" s="6">
        <f t="shared" si="1"/>
        <v>1380</v>
      </c>
      <c r="M8" s="6">
        <f t="shared" si="2"/>
        <v>1290</v>
      </c>
      <c r="N8" s="8" t="str">
        <f t="shared" si="3"/>
        <v>KEEP SELLING</v>
      </c>
    </row>
    <row r="9" spans="1:20" x14ac:dyDescent="0.2">
      <c r="A9" s="2" t="s">
        <v>44</v>
      </c>
      <c r="B9" s="2" t="s">
        <v>45</v>
      </c>
      <c r="C9" s="2" t="s">
        <v>25</v>
      </c>
      <c r="D9" s="2" t="s">
        <v>26</v>
      </c>
      <c r="E9" s="3">
        <v>30</v>
      </c>
      <c r="F9" s="12">
        <v>18</v>
      </c>
      <c r="G9" s="3">
        <v>540</v>
      </c>
      <c r="H9" s="5">
        <v>2</v>
      </c>
      <c r="I9" s="4">
        <v>0</v>
      </c>
      <c r="J9" s="5">
        <f t="shared" si="0"/>
        <v>2</v>
      </c>
      <c r="K9" s="5">
        <f t="shared" si="4"/>
        <v>16</v>
      </c>
      <c r="L9" s="6">
        <f t="shared" si="1"/>
        <v>60</v>
      </c>
      <c r="M9" s="6">
        <f t="shared" si="2"/>
        <v>480</v>
      </c>
      <c r="N9" s="8" t="str">
        <f t="shared" si="3"/>
        <v>KEEP SELLING</v>
      </c>
    </row>
    <row r="10" spans="1:20" x14ac:dyDescent="0.2">
      <c r="A10" s="2" t="s">
        <v>44</v>
      </c>
      <c r="B10" s="2" t="s">
        <v>45</v>
      </c>
      <c r="C10" s="2" t="s">
        <v>27</v>
      </c>
      <c r="D10" s="2" t="s">
        <v>28</v>
      </c>
      <c r="E10" s="3">
        <v>30</v>
      </c>
      <c r="F10" s="12">
        <v>120</v>
      </c>
      <c r="G10" s="3">
        <v>3600</v>
      </c>
      <c r="H10" s="5">
        <v>49</v>
      </c>
      <c r="I10" s="4">
        <v>48</v>
      </c>
      <c r="J10" s="5">
        <f t="shared" si="0"/>
        <v>97</v>
      </c>
      <c r="K10" s="5">
        <f t="shared" si="4"/>
        <v>23</v>
      </c>
      <c r="L10" s="6">
        <f t="shared" si="1"/>
        <v>2910</v>
      </c>
      <c r="M10" s="6">
        <f t="shared" si="2"/>
        <v>690</v>
      </c>
      <c r="N10" s="8" t="str">
        <f t="shared" si="3"/>
        <v>KEEP SELLING</v>
      </c>
    </row>
    <row r="11" spans="1:20" x14ac:dyDescent="0.2">
      <c r="A11" s="2" t="s">
        <v>44</v>
      </c>
      <c r="B11" s="2" t="s">
        <v>45</v>
      </c>
      <c r="C11" s="2" t="s">
        <v>29</v>
      </c>
      <c r="D11" s="2" t="s">
        <v>30</v>
      </c>
      <c r="E11" s="3">
        <v>30</v>
      </c>
      <c r="F11" s="12">
        <v>251</v>
      </c>
      <c r="G11" s="3">
        <v>7530</v>
      </c>
      <c r="H11" s="5">
        <v>85</v>
      </c>
      <c r="I11" s="4">
        <v>38</v>
      </c>
      <c r="J11" s="5">
        <f t="shared" si="0"/>
        <v>123</v>
      </c>
      <c r="K11" s="5">
        <f t="shared" si="4"/>
        <v>128</v>
      </c>
      <c r="L11" s="6">
        <f t="shared" si="1"/>
        <v>3690</v>
      </c>
      <c r="M11" s="6">
        <f t="shared" si="2"/>
        <v>3840</v>
      </c>
      <c r="N11" s="8" t="str">
        <f t="shared" si="3"/>
        <v>KEEP SELLING</v>
      </c>
    </row>
    <row r="12" spans="1:20" x14ac:dyDescent="0.2">
      <c r="A12" s="2" t="s">
        <v>44</v>
      </c>
      <c r="B12" s="2" t="s">
        <v>45</v>
      </c>
      <c r="C12" s="2" t="s">
        <v>31</v>
      </c>
      <c r="D12" s="2" t="s">
        <v>32</v>
      </c>
      <c r="E12" s="3">
        <v>30</v>
      </c>
      <c r="F12" s="12">
        <v>51</v>
      </c>
      <c r="G12" s="3">
        <v>1530</v>
      </c>
      <c r="H12" s="5">
        <v>50</v>
      </c>
      <c r="I12" s="4">
        <v>20</v>
      </c>
      <c r="J12" s="5">
        <f t="shared" si="0"/>
        <v>70</v>
      </c>
      <c r="K12" s="5">
        <f t="shared" si="4"/>
        <v>-19</v>
      </c>
      <c r="L12" s="6">
        <f t="shared" si="1"/>
        <v>2100</v>
      </c>
      <c r="M12" s="6">
        <f t="shared" si="2"/>
        <v>-570</v>
      </c>
      <c r="N12" s="8" t="str">
        <f t="shared" si="3"/>
        <v>DO NOT SELL</v>
      </c>
    </row>
    <row r="13" spans="1:20" x14ac:dyDescent="0.2">
      <c r="A13" s="2" t="s">
        <v>44</v>
      </c>
      <c r="B13" s="2" t="s">
        <v>45</v>
      </c>
      <c r="C13" s="2" t="s">
        <v>33</v>
      </c>
      <c r="D13" s="2" t="s">
        <v>34</v>
      </c>
      <c r="E13" s="3">
        <v>30</v>
      </c>
      <c r="F13" s="12">
        <v>206</v>
      </c>
      <c r="G13" s="3">
        <v>6180</v>
      </c>
      <c r="H13" s="5">
        <v>151</v>
      </c>
      <c r="I13" s="4"/>
      <c r="J13" s="5">
        <f t="shared" si="0"/>
        <v>151</v>
      </c>
      <c r="K13" s="5">
        <f t="shared" ref="K13:K21" si="5">F13-J13</f>
        <v>55</v>
      </c>
      <c r="L13" s="6">
        <f t="shared" si="1"/>
        <v>4530</v>
      </c>
      <c r="M13" s="6">
        <f t="shared" si="2"/>
        <v>1650</v>
      </c>
      <c r="N13" s="8" t="str">
        <f t="shared" si="3"/>
        <v>KEEP SELLING</v>
      </c>
    </row>
    <row r="14" spans="1:20" x14ac:dyDescent="0.2">
      <c r="A14" s="2" t="s">
        <v>47</v>
      </c>
      <c r="B14" s="2" t="s">
        <v>46</v>
      </c>
      <c r="C14" s="2" t="s">
        <v>35</v>
      </c>
      <c r="D14" s="2" t="s">
        <v>35</v>
      </c>
      <c r="E14" s="3">
        <v>10</v>
      </c>
      <c r="F14" s="12">
        <v>1152</v>
      </c>
      <c r="G14" s="3">
        <v>11520</v>
      </c>
      <c r="H14" s="5">
        <v>0</v>
      </c>
      <c r="I14" s="4"/>
      <c r="J14" s="5">
        <f t="shared" si="0"/>
        <v>0</v>
      </c>
      <c r="K14" s="5">
        <f t="shared" si="5"/>
        <v>1152</v>
      </c>
      <c r="L14" s="6">
        <f t="shared" si="1"/>
        <v>0</v>
      </c>
      <c r="M14" s="6">
        <f t="shared" si="2"/>
        <v>11520</v>
      </c>
      <c r="N14" s="8" t="str">
        <f t="shared" si="3"/>
        <v>KEEP SELLING</v>
      </c>
    </row>
    <row r="15" spans="1:20" x14ac:dyDescent="0.2">
      <c r="A15" s="2" t="s">
        <v>47</v>
      </c>
      <c r="B15" s="2" t="s">
        <v>46</v>
      </c>
      <c r="C15" s="2" t="s">
        <v>36</v>
      </c>
      <c r="D15" s="2" t="s">
        <v>36</v>
      </c>
      <c r="E15" s="3">
        <v>10</v>
      </c>
      <c r="F15" s="12">
        <v>1164</v>
      </c>
      <c r="G15" s="3">
        <v>11640</v>
      </c>
      <c r="H15" s="5">
        <v>300</v>
      </c>
      <c r="I15" s="4"/>
      <c r="J15" s="5">
        <f t="shared" si="0"/>
        <v>300</v>
      </c>
      <c r="K15" s="5">
        <f t="shared" si="5"/>
        <v>864</v>
      </c>
      <c r="L15" s="6">
        <f t="shared" si="1"/>
        <v>3000</v>
      </c>
      <c r="M15" s="6">
        <f t="shared" si="2"/>
        <v>8640</v>
      </c>
      <c r="N15" s="8" t="str">
        <f t="shared" si="3"/>
        <v>KEEP SELLING</v>
      </c>
    </row>
    <row r="16" spans="1:20" x14ac:dyDescent="0.2">
      <c r="A16" s="2" t="s">
        <v>47</v>
      </c>
      <c r="B16" s="2" t="s">
        <v>46</v>
      </c>
      <c r="C16" s="2" t="s">
        <v>37</v>
      </c>
      <c r="D16" s="2" t="s">
        <v>37</v>
      </c>
      <c r="E16" s="3">
        <v>10</v>
      </c>
      <c r="F16" s="12">
        <v>1241</v>
      </c>
      <c r="G16" s="3">
        <v>12410</v>
      </c>
      <c r="H16" s="5">
        <v>724</v>
      </c>
      <c r="I16" s="4"/>
      <c r="J16" s="5">
        <f t="shared" si="0"/>
        <v>724</v>
      </c>
      <c r="K16" s="5">
        <f t="shared" si="5"/>
        <v>517</v>
      </c>
      <c r="L16" s="6">
        <f t="shared" si="1"/>
        <v>7240</v>
      </c>
      <c r="M16" s="6">
        <f t="shared" si="2"/>
        <v>5170</v>
      </c>
      <c r="N16" s="8" t="str">
        <f t="shared" si="3"/>
        <v>KEEP SELLING</v>
      </c>
    </row>
    <row r="17" spans="1:14" x14ac:dyDescent="0.2">
      <c r="A17" s="2" t="s">
        <v>47</v>
      </c>
      <c r="B17" s="2" t="s">
        <v>46</v>
      </c>
      <c r="C17" s="2" t="s">
        <v>40</v>
      </c>
      <c r="D17" s="2" t="s">
        <v>40</v>
      </c>
      <c r="E17" s="3">
        <v>30</v>
      </c>
      <c r="F17" s="12">
        <v>429</v>
      </c>
      <c r="G17" s="3">
        <v>12870</v>
      </c>
      <c r="H17" s="5">
        <v>0</v>
      </c>
      <c r="I17" s="4"/>
      <c r="J17" s="5">
        <f t="shared" si="0"/>
        <v>0</v>
      </c>
      <c r="K17" s="5">
        <f t="shared" si="5"/>
        <v>429</v>
      </c>
      <c r="L17" s="6">
        <f t="shared" si="1"/>
        <v>0</v>
      </c>
      <c r="M17" s="6">
        <f t="shared" si="2"/>
        <v>12870</v>
      </c>
      <c r="N17" s="8" t="str">
        <f t="shared" si="3"/>
        <v>KEEP SELLING</v>
      </c>
    </row>
    <row r="18" spans="1:14" x14ac:dyDescent="0.2">
      <c r="A18" s="2" t="s">
        <v>47</v>
      </c>
      <c r="B18" s="2" t="s">
        <v>46</v>
      </c>
      <c r="C18" s="2" t="s">
        <v>41</v>
      </c>
      <c r="D18" s="2" t="s">
        <v>41</v>
      </c>
      <c r="E18" s="3">
        <v>30</v>
      </c>
      <c r="F18" s="12">
        <v>108</v>
      </c>
      <c r="G18" s="3">
        <v>3240</v>
      </c>
      <c r="H18" s="5">
        <v>0</v>
      </c>
      <c r="I18" s="4"/>
      <c r="J18" s="5">
        <f t="shared" si="0"/>
        <v>0</v>
      </c>
      <c r="K18" s="5">
        <f t="shared" si="5"/>
        <v>108</v>
      </c>
      <c r="L18" s="6">
        <f t="shared" si="1"/>
        <v>0</v>
      </c>
      <c r="M18" s="6">
        <f t="shared" si="2"/>
        <v>3240</v>
      </c>
      <c r="N18" s="8" t="str">
        <f t="shared" si="3"/>
        <v>KEEP SELLING</v>
      </c>
    </row>
    <row r="19" spans="1:14" x14ac:dyDescent="0.2">
      <c r="A19" s="2" t="s">
        <v>47</v>
      </c>
      <c r="B19" s="2" t="s">
        <v>46</v>
      </c>
      <c r="C19" s="2" t="s">
        <v>42</v>
      </c>
      <c r="D19" s="2" t="s">
        <v>42</v>
      </c>
      <c r="E19" s="3">
        <v>30</v>
      </c>
      <c r="F19" s="12">
        <v>75</v>
      </c>
      <c r="G19" s="3">
        <v>2250</v>
      </c>
      <c r="H19" s="5">
        <v>160</v>
      </c>
      <c r="I19" s="4"/>
      <c r="J19" s="5">
        <f t="shared" si="0"/>
        <v>160</v>
      </c>
      <c r="K19" s="5">
        <f t="shared" si="5"/>
        <v>-85</v>
      </c>
      <c r="L19" s="6">
        <f t="shared" si="1"/>
        <v>4800</v>
      </c>
      <c r="M19" s="6">
        <f t="shared" si="2"/>
        <v>-2550</v>
      </c>
      <c r="N19" s="8" t="str">
        <f t="shared" si="3"/>
        <v>DO NOT SELL</v>
      </c>
    </row>
    <row r="20" spans="1:14" x14ac:dyDescent="0.2">
      <c r="A20" s="2" t="s">
        <v>48</v>
      </c>
      <c r="B20" s="2" t="s">
        <v>49</v>
      </c>
      <c r="C20" s="2" t="s">
        <v>38</v>
      </c>
      <c r="D20" s="2" t="s">
        <v>38</v>
      </c>
      <c r="E20" s="3">
        <v>10</v>
      </c>
      <c r="F20" s="12">
        <v>389</v>
      </c>
      <c r="G20" s="3">
        <v>11670</v>
      </c>
      <c r="H20" s="5">
        <v>21</v>
      </c>
      <c r="I20" s="4">
        <v>3</v>
      </c>
      <c r="J20" s="5">
        <f t="shared" si="0"/>
        <v>24</v>
      </c>
      <c r="K20" s="5">
        <f t="shared" si="5"/>
        <v>365</v>
      </c>
      <c r="L20" s="6">
        <f t="shared" si="1"/>
        <v>240</v>
      </c>
      <c r="M20" s="6">
        <f t="shared" si="2"/>
        <v>11430</v>
      </c>
      <c r="N20" s="8" t="str">
        <f t="shared" si="3"/>
        <v>KEEP SELLING</v>
      </c>
    </row>
    <row r="21" spans="1:14" x14ac:dyDescent="0.2">
      <c r="A21" s="2" t="s">
        <v>48</v>
      </c>
      <c r="B21" s="2" t="s">
        <v>49</v>
      </c>
      <c r="C21" s="2" t="s">
        <v>39</v>
      </c>
      <c r="D21" s="2" t="s">
        <v>39</v>
      </c>
      <c r="E21" s="3">
        <v>10</v>
      </c>
      <c r="F21" s="12">
        <v>999</v>
      </c>
      <c r="G21" s="3">
        <v>29970</v>
      </c>
      <c r="H21" s="5">
        <v>71</v>
      </c>
      <c r="I21" s="4"/>
      <c r="J21" s="5">
        <f t="shared" si="0"/>
        <v>71</v>
      </c>
      <c r="K21" s="5">
        <f t="shared" si="5"/>
        <v>928</v>
      </c>
      <c r="L21" s="6">
        <f t="shared" si="1"/>
        <v>710</v>
      </c>
      <c r="M21" s="6">
        <f t="shared" si="2"/>
        <v>29260</v>
      </c>
      <c r="N21" s="8" t="str">
        <f t="shared" si="3"/>
        <v>KEEP SELLING</v>
      </c>
    </row>
  </sheetData>
  <conditionalFormatting sqref="K2:N21 H2:I21">
    <cfRule type="cellIs" dxfId="2" priority="8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2025-08-08T21:21:44Z</dcterms:modified>
  <cp:category/>
  <cp:contentStatus/>
</cp:coreProperties>
</file>