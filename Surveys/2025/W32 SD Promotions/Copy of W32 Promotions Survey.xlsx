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2 SD Promotions\"/>
    </mc:Choice>
  </mc:AlternateContent>
  <xr:revisionPtr revIDLastSave="0" documentId="13_ncr:1_{238066C8-7FEE-4230-9254-EF72142805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" l="1"/>
  <c r="M23" i="1"/>
  <c r="M30" i="1"/>
  <c r="M29" i="1"/>
  <c r="M28" i="1"/>
  <c r="M27" i="1"/>
  <c r="M25" i="1"/>
  <c r="M24" i="1"/>
  <c r="L30" i="1"/>
  <c r="L29" i="1"/>
  <c r="L28" i="1"/>
  <c r="L27" i="1"/>
  <c r="L26" i="1"/>
  <c r="L25" i="1"/>
  <c r="L24" i="1"/>
  <c r="L23" i="1"/>
  <c r="L22" i="1"/>
  <c r="K22" i="1"/>
  <c r="L21" i="1"/>
  <c r="K21" i="1"/>
  <c r="L20" i="1"/>
  <c r="K20" i="1"/>
  <c r="M20" i="1" s="1"/>
  <c r="L19" i="1"/>
  <c r="K19" i="1"/>
  <c r="L18" i="1"/>
  <c r="K18" i="1"/>
  <c r="M18" i="1" s="1"/>
  <c r="L17" i="1"/>
  <c r="K17" i="1"/>
  <c r="M17" i="1" s="1"/>
  <c r="L16" i="1"/>
  <c r="K16" i="1"/>
  <c r="M16" i="1" s="1"/>
  <c r="L15" i="1"/>
  <c r="K15" i="1"/>
  <c r="M15" i="1" s="1"/>
  <c r="L14" i="1"/>
  <c r="K14" i="1"/>
  <c r="M14" i="1" s="1"/>
  <c r="L13" i="1"/>
  <c r="K13" i="1"/>
  <c r="L12" i="1"/>
  <c r="K12" i="1"/>
  <c r="L11" i="1"/>
  <c r="K11" i="1"/>
  <c r="I4" i="1"/>
  <c r="I3" i="1"/>
  <c r="I2" i="1"/>
  <c r="L10" i="1"/>
  <c r="L9" i="1"/>
  <c r="L8" i="1"/>
  <c r="L7" i="1"/>
  <c r="L6" i="1"/>
  <c r="L5" i="1"/>
  <c r="L4" i="1"/>
  <c r="L3" i="1"/>
  <c r="L2" i="1"/>
  <c r="K10" i="1"/>
  <c r="K9" i="1"/>
  <c r="K8" i="1"/>
  <c r="K7" i="1"/>
  <c r="K6" i="1"/>
  <c r="K5" i="1"/>
  <c r="K4" i="1"/>
  <c r="K3" i="1"/>
  <c r="K2" i="1"/>
  <c r="M21" i="1" l="1"/>
  <c r="M11" i="1"/>
  <c r="M12" i="1"/>
  <c r="M22" i="1"/>
  <c r="M13" i="1"/>
  <c r="M19" i="1"/>
  <c r="M2" i="1"/>
  <c r="M10" i="1"/>
  <c r="M7" i="1"/>
  <c r="M3" i="1"/>
  <c r="M4" i="1"/>
  <c r="M5" i="1"/>
  <c r="M8" i="1"/>
  <c r="M9" i="1"/>
  <c r="M6" i="1"/>
</calcChain>
</file>

<file path=xl/sharedStrings.xml><?xml version="1.0" encoding="utf-8"?>
<sst xmlns="http://schemas.openxmlformats.org/spreadsheetml/2006/main" count="189" uniqueCount="61">
  <si>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</si>
  <si>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</si>
  <si>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</si>
  <si>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</si>
  <si>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</si>
  <si>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</si>
  <si>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</si>
  <si>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</si>
  <si>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</si>
  <si>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</si>
  <si>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</si>
  <si>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</si>
  <si>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</si>
  <si>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</si>
  <si>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</si>
  <si>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</si>
  <si>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</si>
  <si>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</si>
  <si>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A2S3A0A250000283</t>
  </si>
  <si>
    <t>AS-IS Quantity</t>
  </si>
  <si>
    <t>AS-IS Amt($)</t>
  </si>
  <si>
    <t>TO-BE Quantity</t>
  </si>
  <si>
    <t>TO-BE Amt($)</t>
  </si>
  <si>
    <t>DELTA Quantity</t>
  </si>
  <si>
    <t>DELTA Amt($)</t>
  </si>
  <si>
    <t>Incentive</t>
  </si>
  <si>
    <t>VITEL W32 NRM Sell-Thru Promotion</t>
  </si>
  <si>
    <t>A0S3A0A250000748</t>
  </si>
  <si>
    <t>A0S3A0A250000752</t>
  </si>
  <si>
    <t>A2S3A0A250000257</t>
  </si>
  <si>
    <t>SM-X520NLBATPA</t>
  </si>
  <si>
    <t>TABLET,SM-X520,LIGHT BLUE,TPA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</si>
  <si>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</si>
  <si>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</si>
  <si>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</si>
  <si>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</si>
  <si>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</si>
  <si>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</si>
  <si>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</si>
  <si>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</si>
  <si>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</si>
  <si>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</si>
  <si>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</si>
  <si>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</si>
  <si>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</si>
  <si>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</si>
  <si>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</si>
  <si>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</si>
  <si>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</si>
  <si>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</si>
  <si>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</si>
  <si>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</si>
  <si>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</si>
  <si>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</si>
  <si>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A0S3A0A250000757</t>
  </si>
  <si>
    <t>VITEL W30-32MX Sell-Thru Promotion</t>
  </si>
  <si>
    <t>VITEL W30-32 Tab S10 Series ST Promo</t>
  </si>
  <si>
    <t>A0S3A0A250000765</t>
  </si>
  <si>
    <t>G-S24</t>
  </si>
  <si>
    <t>G-S24+</t>
  </si>
  <si>
    <t>VITEL W30-32 S24/24+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</si>
</sst>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3" fontId="0" fillId="4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showGridLines="0" tabSelected="1" zoomScale="145" zoomScaleNormal="145" workbookViewId="0">
      <pane ySplit="1" topLeftCell="A2" activePane="bottomLeft" state="frozen"/>
      <selection pane="bottomLeft" activeCell="F15" sqref="F15"/>
    </sheetView>
  </sheetViews>
  <sheetFormatPr defaultRowHeight="12.75" x14ac:dyDescent="0.2"/>
  <cols>
    <col min="1" max="1" width="20.140625" bestFit="1" customWidth="1"/>
    <col min="2" max="2" width="51.570312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3.57031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6</v>
      </c>
      <c r="O1" s="1" t="s">
        <v>7</v>
      </c>
    </row>
    <row r="2" spans="1:15" x14ac:dyDescent="0.2">
      <c r="A2" s="2" t="s">
        <v>27</v>
      </c>
      <c r="B2" s="2" t="s">
        <v>26</v>
      </c>
      <c r="C2" s="2" t="s">
        <v>18</v>
      </c>
      <c r="D2" s="2" t="s">
        <v>8</v>
      </c>
      <c r="E2" s="2" t="s">
        <v>9</v>
      </c>
      <c r="F2" s="2" t="s">
        <v>9</v>
      </c>
      <c r="G2" s="6">
        <v>10</v>
      </c>
      <c r="H2" s="7">
        <v>650</v>
      </c>
      <c r="I2" s="6">
        <f t="shared" ref="I2:I4" si="0">H2*$G2</f>
        <v>6500</v>
      </c>
      <c r="J2" s="4">
        <v>380</v>
      </c>
      <c r="K2" s="5">
        <f t="shared" ref="K2:K10" si="1">J2*$G2</f>
        <v>3800</v>
      </c>
      <c r="L2" s="7">
        <f t="shared" ref="L2:L10" si="2">J2-H2</f>
        <v>-270</v>
      </c>
      <c r="M2" s="6">
        <f t="shared" ref="M2:M30" si="3">K2-I2</f>
        <v>-2700</v>
      </c>
      <c r="N2" s="3">
        <v>45859</v>
      </c>
      <c r="O2" s="3">
        <v>45879</v>
      </c>
    </row>
    <row r="3" spans="1:15" x14ac:dyDescent="0.2">
      <c r="A3" s="2" t="s">
        <v>27</v>
      </c>
      <c r="B3" s="2" t="s">
        <v>26</v>
      </c>
      <c r="C3" s="2" t="s">
        <v>18</v>
      </c>
      <c r="D3" s="2" t="s">
        <v>8</v>
      </c>
      <c r="E3" s="2" t="s">
        <v>10</v>
      </c>
      <c r="F3" s="2" t="s">
        <v>10</v>
      </c>
      <c r="G3" s="6">
        <v>10</v>
      </c>
      <c r="H3" s="7">
        <v>5952</v>
      </c>
      <c r="I3" s="6">
        <f t="shared" si="0"/>
        <v>59520</v>
      </c>
      <c r="J3" s="4">
        <v>4000</v>
      </c>
      <c r="K3" s="5">
        <f t="shared" si="1"/>
        <v>40000</v>
      </c>
      <c r="L3" s="7">
        <f t="shared" si="2"/>
        <v>-1952</v>
      </c>
      <c r="M3" s="6">
        <f t="shared" si="3"/>
        <v>-19520</v>
      </c>
      <c r="N3" s="3">
        <v>45859</v>
      </c>
      <c r="O3" s="3">
        <v>45879</v>
      </c>
    </row>
    <row r="4" spans="1:15" x14ac:dyDescent="0.2">
      <c r="A4" s="2" t="s">
        <v>27</v>
      </c>
      <c r="B4" s="2" t="s">
        <v>26</v>
      </c>
      <c r="C4" s="2" t="s">
        <v>18</v>
      </c>
      <c r="D4" s="2" t="s">
        <v>8</v>
      </c>
      <c r="E4" s="2" t="s">
        <v>11</v>
      </c>
      <c r="F4" s="2" t="s">
        <v>11</v>
      </c>
      <c r="G4" s="6">
        <v>5</v>
      </c>
      <c r="H4" s="7">
        <v>620</v>
      </c>
      <c r="I4" s="6">
        <f t="shared" si="0"/>
        <v>3100</v>
      </c>
      <c r="J4" s="4">
        <v>43</v>
      </c>
      <c r="K4" s="5">
        <f t="shared" si="1"/>
        <v>215</v>
      </c>
      <c r="L4" s="7">
        <f t="shared" si="2"/>
        <v>-577</v>
      </c>
      <c r="M4" s="6">
        <f t="shared" si="3"/>
        <v>-2885</v>
      </c>
      <c r="N4" s="3">
        <v>45859</v>
      </c>
      <c r="O4" s="3">
        <v>45879</v>
      </c>
    </row>
    <row r="5" spans="1:15" x14ac:dyDescent="0.2">
      <c r="A5" s="2" t="s">
        <v>27</v>
      </c>
      <c r="B5" s="2" t="s">
        <v>26</v>
      </c>
      <c r="C5" s="2" t="s">
        <v>18</v>
      </c>
      <c r="D5" s="2" t="s">
        <v>8</v>
      </c>
      <c r="E5" s="2" t="s">
        <v>12</v>
      </c>
      <c r="F5" s="2" t="s">
        <v>12</v>
      </c>
      <c r="G5" s="6">
        <v>10</v>
      </c>
      <c r="H5" s="7">
        <v>656</v>
      </c>
      <c r="I5" s="6">
        <v>6560</v>
      </c>
      <c r="J5" s="4">
        <v>360</v>
      </c>
      <c r="K5" s="5">
        <f t="shared" si="1"/>
        <v>3600</v>
      </c>
      <c r="L5" s="7">
        <f t="shared" si="2"/>
        <v>-296</v>
      </c>
      <c r="M5" s="6">
        <f t="shared" si="3"/>
        <v>-2960</v>
      </c>
      <c r="N5" s="3">
        <v>45859</v>
      </c>
      <c r="O5" s="3">
        <v>45879</v>
      </c>
    </row>
    <row r="6" spans="1:15" x14ac:dyDescent="0.2">
      <c r="A6" s="2" t="s">
        <v>27</v>
      </c>
      <c r="B6" s="2" t="s">
        <v>26</v>
      </c>
      <c r="C6" s="2" t="s">
        <v>18</v>
      </c>
      <c r="D6" s="2" t="s">
        <v>8</v>
      </c>
      <c r="E6" s="2" t="s">
        <v>13</v>
      </c>
      <c r="F6" s="2" t="s">
        <v>13</v>
      </c>
      <c r="G6" s="6">
        <v>10</v>
      </c>
      <c r="H6" s="7">
        <v>699</v>
      </c>
      <c r="I6" s="6">
        <v>6990</v>
      </c>
      <c r="J6" s="4">
        <v>250</v>
      </c>
      <c r="K6" s="5">
        <f t="shared" si="1"/>
        <v>2500</v>
      </c>
      <c r="L6" s="7">
        <f t="shared" si="2"/>
        <v>-449</v>
      </c>
      <c r="M6" s="6">
        <f t="shared" si="3"/>
        <v>-4490</v>
      </c>
      <c r="N6" s="3">
        <v>45859</v>
      </c>
      <c r="O6" s="3">
        <v>45879</v>
      </c>
    </row>
    <row r="7" spans="1:15" x14ac:dyDescent="0.2">
      <c r="A7" s="2" t="s">
        <v>27</v>
      </c>
      <c r="B7" s="2" t="s">
        <v>26</v>
      </c>
      <c r="C7" s="2" t="s">
        <v>18</v>
      </c>
      <c r="D7" s="2" t="s">
        <v>8</v>
      </c>
      <c r="E7" s="2" t="s">
        <v>14</v>
      </c>
      <c r="F7" s="2" t="s">
        <v>14</v>
      </c>
      <c r="G7" s="6">
        <v>30</v>
      </c>
      <c r="H7" s="7">
        <v>248</v>
      </c>
      <c r="I7" s="6">
        <v>7440</v>
      </c>
      <c r="J7" s="4">
        <v>300</v>
      </c>
      <c r="K7" s="5">
        <f t="shared" si="1"/>
        <v>9000</v>
      </c>
      <c r="L7" s="7">
        <f t="shared" si="2"/>
        <v>52</v>
      </c>
      <c r="M7" s="6">
        <f t="shared" si="3"/>
        <v>1560</v>
      </c>
      <c r="N7" s="3">
        <v>45859</v>
      </c>
      <c r="O7" s="3">
        <v>45879</v>
      </c>
    </row>
    <row r="8" spans="1:15" x14ac:dyDescent="0.2">
      <c r="A8" s="2" t="s">
        <v>27</v>
      </c>
      <c r="B8" s="2" t="s">
        <v>26</v>
      </c>
      <c r="C8" s="2" t="s">
        <v>18</v>
      </c>
      <c r="D8" s="2" t="s">
        <v>8</v>
      </c>
      <c r="E8" s="2" t="s">
        <v>15</v>
      </c>
      <c r="F8" s="2" t="s">
        <v>15</v>
      </c>
      <c r="G8" s="6">
        <v>30</v>
      </c>
      <c r="H8" s="7">
        <v>70</v>
      </c>
      <c r="I8" s="6">
        <v>2100</v>
      </c>
      <c r="J8" s="4">
        <v>0</v>
      </c>
      <c r="K8" s="5">
        <f t="shared" si="1"/>
        <v>0</v>
      </c>
      <c r="L8" s="7">
        <f t="shared" si="2"/>
        <v>-70</v>
      </c>
      <c r="M8" s="6">
        <f t="shared" si="3"/>
        <v>-2100</v>
      </c>
      <c r="N8" s="3">
        <v>45859</v>
      </c>
      <c r="O8" s="3">
        <v>45879</v>
      </c>
    </row>
    <row r="9" spans="1:15" x14ac:dyDescent="0.2">
      <c r="A9" s="2" t="s">
        <v>27</v>
      </c>
      <c r="B9" s="2" t="s">
        <v>26</v>
      </c>
      <c r="C9" s="2" t="s">
        <v>18</v>
      </c>
      <c r="D9" s="2" t="s">
        <v>8</v>
      </c>
      <c r="E9" s="2" t="s">
        <v>16</v>
      </c>
      <c r="F9" s="2" t="s">
        <v>16</v>
      </c>
      <c r="G9" s="6">
        <v>30</v>
      </c>
      <c r="H9" s="7">
        <v>51</v>
      </c>
      <c r="I9" s="6">
        <v>1530</v>
      </c>
      <c r="J9" s="4">
        <v>10</v>
      </c>
      <c r="K9" s="5">
        <f t="shared" si="1"/>
        <v>300</v>
      </c>
      <c r="L9" s="7">
        <f t="shared" si="2"/>
        <v>-41</v>
      </c>
      <c r="M9" s="6">
        <f t="shared" si="3"/>
        <v>-1230</v>
      </c>
      <c r="N9" s="3">
        <v>45859</v>
      </c>
      <c r="O9" s="3">
        <v>45879</v>
      </c>
    </row>
    <row r="10" spans="1:15" x14ac:dyDescent="0.2">
      <c r="A10" s="2" t="s">
        <v>27</v>
      </c>
      <c r="B10" s="2" t="s">
        <v>26</v>
      </c>
      <c r="C10" s="2" t="s">
        <v>18</v>
      </c>
      <c r="D10" s="2" t="s">
        <v>8</v>
      </c>
      <c r="E10" s="2" t="s">
        <v>17</v>
      </c>
      <c r="F10" s="2" t="s">
        <v>17</v>
      </c>
      <c r="G10" s="6">
        <v>30</v>
      </c>
      <c r="H10" s="7">
        <v>885</v>
      </c>
      <c r="I10" s="6">
        <v>26550</v>
      </c>
      <c r="J10" s="4">
        <v>390</v>
      </c>
      <c r="K10" s="5">
        <f t="shared" si="1"/>
        <v>11700</v>
      </c>
      <c r="L10" s="7">
        <f t="shared" si="2"/>
        <v>-495</v>
      </c>
      <c r="M10" s="6">
        <f t="shared" si="3"/>
        <v>-14850</v>
      </c>
      <c r="N10" s="3">
        <v>45859</v>
      </c>
      <c r="O10" s="3">
        <v>45879</v>
      </c>
    </row>
    <row r="11" spans="1:15" x14ac:dyDescent="0.2">
      <c r="A11" s="2" t="s">
        <v>28</v>
      </c>
      <c r="B11" s="2" t="s">
        <v>56</v>
      </c>
      <c r="C11" s="2" t="s">
        <v>29</v>
      </c>
      <c r="D11" s="2" t="s">
        <v>8</v>
      </c>
      <c r="E11" s="2" t="s">
        <v>30</v>
      </c>
      <c r="F11" s="2" t="s">
        <v>31</v>
      </c>
      <c r="G11" s="6">
        <v>30</v>
      </c>
      <c r="H11" s="8">
        <v>39</v>
      </c>
      <c r="I11" s="6">
        <v>1170</v>
      </c>
      <c r="J11" s="9">
        <v>267</v>
      </c>
      <c r="K11" s="5">
        <f t="shared" ref="K11:K22" si="4">G11*J11</f>
        <v>8010</v>
      </c>
      <c r="L11" s="8">
        <f t="shared" ref="L11:L30" si="5">H11-J11</f>
        <v>-228</v>
      </c>
      <c r="M11" s="6">
        <f t="shared" si="3"/>
        <v>6840</v>
      </c>
      <c r="N11" s="3">
        <v>45859</v>
      </c>
      <c r="O11" s="3">
        <v>45879</v>
      </c>
    </row>
    <row r="12" spans="1:15" x14ac:dyDescent="0.2">
      <c r="A12" s="2" t="s">
        <v>28</v>
      </c>
      <c r="B12" s="2" t="s">
        <v>56</v>
      </c>
      <c r="C12" s="2" t="s">
        <v>29</v>
      </c>
      <c r="D12" s="2" t="s">
        <v>8</v>
      </c>
      <c r="E12" s="2" t="s">
        <v>32</v>
      </c>
      <c r="F12" s="2" t="s">
        <v>33</v>
      </c>
      <c r="G12" s="6">
        <v>30</v>
      </c>
      <c r="H12" s="8">
        <v>115</v>
      </c>
      <c r="I12" s="6">
        <v>3450</v>
      </c>
      <c r="J12" s="9">
        <v>165</v>
      </c>
      <c r="K12" s="5">
        <f t="shared" si="4"/>
        <v>4950</v>
      </c>
      <c r="L12" s="8">
        <f t="shared" si="5"/>
        <v>-50</v>
      </c>
      <c r="M12" s="6">
        <f t="shared" si="3"/>
        <v>1500</v>
      </c>
      <c r="N12" s="3">
        <v>45859</v>
      </c>
      <c r="O12" s="3">
        <v>45879</v>
      </c>
    </row>
    <row r="13" spans="1:15" x14ac:dyDescent="0.2">
      <c r="A13" s="2" t="s">
        <v>28</v>
      </c>
      <c r="B13" s="2" t="s">
        <v>56</v>
      </c>
      <c r="C13" s="2" t="s">
        <v>29</v>
      </c>
      <c r="D13" s="2" t="s">
        <v>8</v>
      </c>
      <c r="E13" s="2" t="s">
        <v>34</v>
      </c>
      <c r="F13" s="2" t="s">
        <v>35</v>
      </c>
      <c r="G13" s="6">
        <v>30</v>
      </c>
      <c r="H13" s="8">
        <v>88</v>
      </c>
      <c r="I13" s="6">
        <v>2640</v>
      </c>
      <c r="J13" s="9">
        <v>145</v>
      </c>
      <c r="K13" s="5">
        <f t="shared" si="4"/>
        <v>4350</v>
      </c>
      <c r="L13" s="8">
        <f t="shared" si="5"/>
        <v>-57</v>
      </c>
      <c r="M13" s="6">
        <f t="shared" si="3"/>
        <v>1710</v>
      </c>
      <c r="N13" s="3">
        <v>45859</v>
      </c>
      <c r="O13" s="3">
        <v>45879</v>
      </c>
    </row>
    <row r="14" spans="1:15" x14ac:dyDescent="0.2">
      <c r="A14" s="2" t="s">
        <v>28</v>
      </c>
      <c r="B14" s="2" t="s">
        <v>56</v>
      </c>
      <c r="C14" s="2" t="s">
        <v>29</v>
      </c>
      <c r="D14" s="2" t="s">
        <v>8</v>
      </c>
      <c r="E14" s="2" t="s">
        <v>36</v>
      </c>
      <c r="F14" s="2" t="s">
        <v>37</v>
      </c>
      <c r="G14" s="6">
        <v>30</v>
      </c>
      <c r="H14" s="8">
        <v>176</v>
      </c>
      <c r="I14" s="6">
        <v>5280</v>
      </c>
      <c r="J14" s="9">
        <v>150</v>
      </c>
      <c r="K14" s="5">
        <f t="shared" si="4"/>
        <v>4500</v>
      </c>
      <c r="L14" s="8">
        <f t="shared" si="5"/>
        <v>26</v>
      </c>
      <c r="M14" s="6">
        <f t="shared" si="3"/>
        <v>-780</v>
      </c>
      <c r="N14" s="3">
        <v>45859</v>
      </c>
      <c r="O14" s="3">
        <v>45879</v>
      </c>
    </row>
    <row r="15" spans="1:15" x14ac:dyDescent="0.2">
      <c r="A15" s="2" t="s">
        <v>28</v>
      </c>
      <c r="B15" s="2" t="s">
        <v>56</v>
      </c>
      <c r="C15" s="2" t="s">
        <v>29</v>
      </c>
      <c r="D15" s="2" t="s">
        <v>8</v>
      </c>
      <c r="E15" s="2" t="s">
        <v>38</v>
      </c>
      <c r="F15" s="2" t="s">
        <v>39</v>
      </c>
      <c r="G15" s="6">
        <v>30</v>
      </c>
      <c r="H15" s="8">
        <v>49</v>
      </c>
      <c r="I15" s="6">
        <v>1470</v>
      </c>
      <c r="J15" s="9">
        <v>32</v>
      </c>
      <c r="K15" s="5">
        <f t="shared" si="4"/>
        <v>960</v>
      </c>
      <c r="L15" s="8">
        <f t="shared" si="5"/>
        <v>17</v>
      </c>
      <c r="M15" s="6">
        <f t="shared" si="3"/>
        <v>-510</v>
      </c>
      <c r="N15" s="3">
        <v>45859</v>
      </c>
      <c r="O15" s="3">
        <v>45879</v>
      </c>
    </row>
    <row r="16" spans="1:15" x14ac:dyDescent="0.2">
      <c r="A16" s="2" t="s">
        <v>28</v>
      </c>
      <c r="B16" s="2" t="s">
        <v>56</v>
      </c>
      <c r="C16" s="2" t="s">
        <v>29</v>
      </c>
      <c r="D16" s="2" t="s">
        <v>8</v>
      </c>
      <c r="E16" s="2" t="s">
        <v>40</v>
      </c>
      <c r="F16" s="2" t="s">
        <v>41</v>
      </c>
      <c r="G16" s="6">
        <v>30</v>
      </c>
      <c r="H16" s="8">
        <v>49</v>
      </c>
      <c r="I16" s="6">
        <v>1470</v>
      </c>
      <c r="J16" s="9">
        <v>37</v>
      </c>
      <c r="K16" s="5">
        <f t="shared" si="4"/>
        <v>1110</v>
      </c>
      <c r="L16" s="8">
        <f t="shared" si="5"/>
        <v>12</v>
      </c>
      <c r="M16" s="6">
        <f t="shared" si="3"/>
        <v>-360</v>
      </c>
      <c r="N16" s="3">
        <v>45859</v>
      </c>
      <c r="O16" s="3">
        <v>45879</v>
      </c>
    </row>
    <row r="17" spans="1:15" x14ac:dyDescent="0.2">
      <c r="A17" s="2" t="s">
        <v>28</v>
      </c>
      <c r="B17" s="2" t="s">
        <v>56</v>
      </c>
      <c r="C17" s="2" t="s">
        <v>29</v>
      </c>
      <c r="D17" s="2" t="s">
        <v>8</v>
      </c>
      <c r="E17" s="2" t="s">
        <v>42</v>
      </c>
      <c r="F17" s="2" t="s">
        <v>43</v>
      </c>
      <c r="G17" s="6">
        <v>30</v>
      </c>
      <c r="H17" s="8">
        <v>89</v>
      </c>
      <c r="I17" s="6">
        <v>2670</v>
      </c>
      <c r="J17" s="9">
        <v>34</v>
      </c>
      <c r="K17" s="5">
        <f t="shared" si="4"/>
        <v>1020</v>
      </c>
      <c r="L17" s="8">
        <f t="shared" si="5"/>
        <v>55</v>
      </c>
      <c r="M17" s="6">
        <f t="shared" si="3"/>
        <v>-1650</v>
      </c>
      <c r="N17" s="3">
        <v>45859</v>
      </c>
      <c r="O17" s="3">
        <v>45879</v>
      </c>
    </row>
    <row r="18" spans="1:15" x14ac:dyDescent="0.2">
      <c r="A18" s="2" t="s">
        <v>28</v>
      </c>
      <c r="B18" s="2" t="s">
        <v>56</v>
      </c>
      <c r="C18" s="2" t="s">
        <v>29</v>
      </c>
      <c r="D18" s="2" t="s">
        <v>8</v>
      </c>
      <c r="E18" s="2" t="s">
        <v>44</v>
      </c>
      <c r="F18" s="2" t="s">
        <v>45</v>
      </c>
      <c r="G18" s="6">
        <v>30</v>
      </c>
      <c r="H18" s="8">
        <v>18</v>
      </c>
      <c r="I18" s="6">
        <v>540</v>
      </c>
      <c r="J18" s="9">
        <v>0</v>
      </c>
      <c r="K18" s="5">
        <f t="shared" si="4"/>
        <v>0</v>
      </c>
      <c r="L18" s="8">
        <f t="shared" si="5"/>
        <v>18</v>
      </c>
      <c r="M18" s="6">
        <f t="shared" si="3"/>
        <v>-540</v>
      </c>
      <c r="N18" s="3">
        <v>45859</v>
      </c>
      <c r="O18" s="3">
        <v>45879</v>
      </c>
    </row>
    <row r="19" spans="1:15" x14ac:dyDescent="0.2">
      <c r="A19" s="2" t="s">
        <v>28</v>
      </c>
      <c r="B19" s="2" t="s">
        <v>56</v>
      </c>
      <c r="C19" s="2" t="s">
        <v>29</v>
      </c>
      <c r="D19" s="2" t="s">
        <v>8</v>
      </c>
      <c r="E19" s="2" t="s">
        <v>46</v>
      </c>
      <c r="F19" s="2" t="s">
        <v>47</v>
      </c>
      <c r="G19" s="6">
        <v>30</v>
      </c>
      <c r="H19" s="8">
        <v>120</v>
      </c>
      <c r="I19" s="6">
        <v>3600</v>
      </c>
      <c r="J19" s="9">
        <v>64</v>
      </c>
      <c r="K19" s="5">
        <f t="shared" si="4"/>
        <v>1920</v>
      </c>
      <c r="L19" s="8">
        <f t="shared" si="5"/>
        <v>56</v>
      </c>
      <c r="M19" s="6">
        <f t="shared" si="3"/>
        <v>-1680</v>
      </c>
      <c r="N19" s="3">
        <v>45859</v>
      </c>
      <c r="O19" s="3">
        <v>45879</v>
      </c>
    </row>
    <row r="20" spans="1:15" x14ac:dyDescent="0.2">
      <c r="A20" s="2" t="s">
        <v>28</v>
      </c>
      <c r="B20" s="2" t="s">
        <v>56</v>
      </c>
      <c r="C20" s="2" t="s">
        <v>29</v>
      </c>
      <c r="D20" s="2" t="s">
        <v>8</v>
      </c>
      <c r="E20" s="2" t="s">
        <v>48</v>
      </c>
      <c r="F20" s="2" t="s">
        <v>49</v>
      </c>
      <c r="G20" s="6">
        <v>30</v>
      </c>
      <c r="H20" s="8">
        <v>251</v>
      </c>
      <c r="I20" s="6">
        <v>7530</v>
      </c>
      <c r="J20" s="9">
        <v>100</v>
      </c>
      <c r="K20" s="5">
        <f t="shared" si="4"/>
        <v>3000</v>
      </c>
      <c r="L20" s="8">
        <f t="shared" si="5"/>
        <v>151</v>
      </c>
      <c r="M20" s="6">
        <f t="shared" si="3"/>
        <v>-4530</v>
      </c>
      <c r="N20" s="3">
        <v>45859</v>
      </c>
      <c r="O20" s="3">
        <v>45879</v>
      </c>
    </row>
    <row r="21" spans="1:15" x14ac:dyDescent="0.2">
      <c r="A21" s="2" t="s">
        <v>28</v>
      </c>
      <c r="B21" s="2" t="s">
        <v>56</v>
      </c>
      <c r="C21" s="2" t="s">
        <v>29</v>
      </c>
      <c r="D21" s="2" t="s">
        <v>8</v>
      </c>
      <c r="E21" s="2" t="s">
        <v>50</v>
      </c>
      <c r="F21" s="2" t="s">
        <v>51</v>
      </c>
      <c r="G21" s="6">
        <v>30</v>
      </c>
      <c r="H21" s="8">
        <v>51</v>
      </c>
      <c r="I21" s="6">
        <v>1530</v>
      </c>
      <c r="J21" s="9">
        <v>74</v>
      </c>
      <c r="K21" s="5">
        <f t="shared" si="4"/>
        <v>2220</v>
      </c>
      <c r="L21" s="8">
        <f t="shared" si="5"/>
        <v>-23</v>
      </c>
      <c r="M21" s="6">
        <f t="shared" si="3"/>
        <v>690</v>
      </c>
      <c r="N21" s="3">
        <v>45859</v>
      </c>
      <c r="O21" s="3">
        <v>45879</v>
      </c>
    </row>
    <row r="22" spans="1:15" x14ac:dyDescent="0.2">
      <c r="A22" s="2" t="s">
        <v>28</v>
      </c>
      <c r="B22" s="2" t="s">
        <v>55</v>
      </c>
      <c r="C22" s="2" t="s">
        <v>29</v>
      </c>
      <c r="D22" s="2" t="s">
        <v>8</v>
      </c>
      <c r="E22" s="2" t="s">
        <v>52</v>
      </c>
      <c r="F22" s="2" t="s">
        <v>53</v>
      </c>
      <c r="G22" s="6">
        <v>30</v>
      </c>
      <c r="H22" s="8">
        <v>206</v>
      </c>
      <c r="I22" s="6">
        <v>6180</v>
      </c>
      <c r="J22" s="9">
        <v>183</v>
      </c>
      <c r="K22" s="5">
        <f t="shared" si="4"/>
        <v>5490</v>
      </c>
      <c r="L22" s="8">
        <f t="shared" si="5"/>
        <v>23</v>
      </c>
      <c r="M22" s="6">
        <f t="shared" si="3"/>
        <v>-690</v>
      </c>
      <c r="N22" s="3">
        <v>45859</v>
      </c>
      <c r="O22" s="3">
        <v>45879</v>
      </c>
    </row>
    <row r="23" spans="1:15" x14ac:dyDescent="0.2">
      <c r="A23" s="2" t="s">
        <v>54</v>
      </c>
      <c r="B23" s="2" t="s">
        <v>55</v>
      </c>
      <c r="C23" s="2" t="s">
        <v>18</v>
      </c>
      <c r="D23" s="2" t="s">
        <v>8</v>
      </c>
      <c r="E23" s="2" t="s">
        <v>9</v>
      </c>
      <c r="F23" s="2" t="s">
        <v>9</v>
      </c>
      <c r="G23" s="6">
        <v>10</v>
      </c>
      <c r="H23" s="7">
        <v>1152</v>
      </c>
      <c r="I23" s="6">
        <v>11520</v>
      </c>
      <c r="J23" s="4">
        <v>0</v>
      </c>
      <c r="K23" s="5">
        <v>3300</v>
      </c>
      <c r="L23" s="8">
        <f t="shared" si="5"/>
        <v>1152</v>
      </c>
      <c r="M23" s="6">
        <f>K23-I23</f>
        <v>-8220</v>
      </c>
      <c r="N23" s="3">
        <v>45859</v>
      </c>
      <c r="O23" s="3">
        <v>45879</v>
      </c>
    </row>
    <row r="24" spans="1:15" x14ac:dyDescent="0.2">
      <c r="A24" s="2" t="s">
        <v>54</v>
      </c>
      <c r="B24" s="2" t="s">
        <v>55</v>
      </c>
      <c r="C24" s="2" t="s">
        <v>18</v>
      </c>
      <c r="D24" s="2" t="s">
        <v>8</v>
      </c>
      <c r="E24" s="2" t="s">
        <v>12</v>
      </c>
      <c r="F24" s="2" t="s">
        <v>12</v>
      </c>
      <c r="G24" s="6">
        <v>10</v>
      </c>
      <c r="H24" s="7">
        <v>1164</v>
      </c>
      <c r="I24" s="6">
        <v>11640</v>
      </c>
      <c r="J24" s="4">
        <v>800</v>
      </c>
      <c r="K24" s="5">
        <v>3330</v>
      </c>
      <c r="L24" s="8">
        <f t="shared" si="5"/>
        <v>364</v>
      </c>
      <c r="M24" s="6">
        <f t="shared" si="3"/>
        <v>-8310</v>
      </c>
      <c r="N24" s="3">
        <v>45859</v>
      </c>
      <c r="O24" s="3">
        <v>45879</v>
      </c>
    </row>
    <row r="25" spans="1:15" x14ac:dyDescent="0.2">
      <c r="A25" s="2" t="s">
        <v>54</v>
      </c>
      <c r="B25" s="2" t="s">
        <v>55</v>
      </c>
      <c r="C25" s="2" t="s">
        <v>18</v>
      </c>
      <c r="D25" s="2" t="s">
        <v>8</v>
      </c>
      <c r="E25" s="2" t="s">
        <v>13</v>
      </c>
      <c r="F25" s="2" t="s">
        <v>13</v>
      </c>
      <c r="G25" s="6">
        <v>10</v>
      </c>
      <c r="H25" s="7">
        <v>1241</v>
      </c>
      <c r="I25" s="6">
        <v>12410</v>
      </c>
      <c r="J25" s="4">
        <v>800</v>
      </c>
      <c r="K25" s="5">
        <v>3550</v>
      </c>
      <c r="L25" s="8">
        <f t="shared" si="5"/>
        <v>441</v>
      </c>
      <c r="M25" s="6">
        <f t="shared" si="3"/>
        <v>-8860</v>
      </c>
      <c r="N25" s="3">
        <v>45859</v>
      </c>
      <c r="O25" s="3">
        <v>45879</v>
      </c>
    </row>
    <row r="26" spans="1:15" x14ac:dyDescent="0.2">
      <c r="A26" s="2" t="s">
        <v>54</v>
      </c>
      <c r="B26" s="2" t="s">
        <v>55</v>
      </c>
      <c r="C26" s="2" t="s">
        <v>18</v>
      </c>
      <c r="D26" s="2" t="s">
        <v>8</v>
      </c>
      <c r="E26" s="2" t="s">
        <v>14</v>
      </c>
      <c r="F26" s="2" t="s">
        <v>14</v>
      </c>
      <c r="G26" s="6">
        <v>30</v>
      </c>
      <c r="H26" s="7">
        <v>429</v>
      </c>
      <c r="I26" s="6">
        <v>12870</v>
      </c>
      <c r="J26" s="4">
        <v>200</v>
      </c>
      <c r="K26" s="5">
        <v>3870</v>
      </c>
      <c r="L26" s="8">
        <f t="shared" si="5"/>
        <v>229</v>
      </c>
      <c r="M26" s="6">
        <f t="shared" si="3"/>
        <v>-9000</v>
      </c>
      <c r="N26" s="3">
        <v>45859</v>
      </c>
      <c r="O26" s="3">
        <v>45879</v>
      </c>
    </row>
    <row r="27" spans="1:15" x14ac:dyDescent="0.2">
      <c r="A27" s="2" t="s">
        <v>54</v>
      </c>
      <c r="B27" s="2" t="s">
        <v>55</v>
      </c>
      <c r="C27" s="2" t="s">
        <v>18</v>
      </c>
      <c r="D27" s="2" t="s">
        <v>8</v>
      </c>
      <c r="E27" s="2" t="s">
        <v>15</v>
      </c>
      <c r="F27" s="2" t="s">
        <v>15</v>
      </c>
      <c r="G27" s="6">
        <v>30</v>
      </c>
      <c r="H27" s="7">
        <v>108</v>
      </c>
      <c r="I27" s="6">
        <v>3240</v>
      </c>
      <c r="J27" s="4">
        <v>0</v>
      </c>
      <c r="K27" s="5">
        <v>1200</v>
      </c>
      <c r="L27" s="8">
        <f t="shared" si="5"/>
        <v>108</v>
      </c>
      <c r="M27" s="6">
        <f t="shared" si="3"/>
        <v>-2040</v>
      </c>
      <c r="N27" s="3">
        <v>45859</v>
      </c>
      <c r="O27" s="3">
        <v>45879</v>
      </c>
    </row>
    <row r="28" spans="1:15" x14ac:dyDescent="0.2">
      <c r="A28" s="2" t="s">
        <v>54</v>
      </c>
      <c r="B28" s="2" t="s">
        <v>55</v>
      </c>
      <c r="C28" s="2" t="s">
        <v>18</v>
      </c>
      <c r="D28" s="2" t="s">
        <v>8</v>
      </c>
      <c r="E28" s="2" t="s">
        <v>16</v>
      </c>
      <c r="F28" s="2" t="s">
        <v>16</v>
      </c>
      <c r="G28" s="6">
        <v>30</v>
      </c>
      <c r="H28" s="7">
        <v>75</v>
      </c>
      <c r="I28" s="6">
        <v>2250</v>
      </c>
      <c r="J28" s="4">
        <v>160</v>
      </c>
      <c r="K28" s="5">
        <v>930</v>
      </c>
      <c r="L28" s="8">
        <f t="shared" si="5"/>
        <v>-85</v>
      </c>
      <c r="M28" s="6">
        <f t="shared" si="3"/>
        <v>-1320</v>
      </c>
      <c r="N28" s="3">
        <v>45859</v>
      </c>
      <c r="O28" s="3">
        <v>45879</v>
      </c>
    </row>
    <row r="29" spans="1:15" x14ac:dyDescent="0.2">
      <c r="A29" s="2" t="s">
        <v>57</v>
      </c>
      <c r="B29" s="2" t="s">
        <v>60</v>
      </c>
      <c r="C29" s="2" t="s">
        <v>18</v>
      </c>
      <c r="D29" s="2" t="s">
        <v>8</v>
      </c>
      <c r="E29" s="2" t="s">
        <v>58</v>
      </c>
      <c r="F29" s="2" t="s">
        <v>58</v>
      </c>
      <c r="G29" s="6">
        <v>30</v>
      </c>
      <c r="H29" s="7">
        <v>389</v>
      </c>
      <c r="I29" s="6">
        <v>11670</v>
      </c>
      <c r="J29" s="4">
        <v>50</v>
      </c>
      <c r="K29" s="5">
        <v>3870</v>
      </c>
      <c r="L29" s="8">
        <f t="shared" si="5"/>
        <v>339</v>
      </c>
      <c r="M29" s="6">
        <f t="shared" si="3"/>
        <v>-7800</v>
      </c>
      <c r="N29" s="3">
        <v>45859</v>
      </c>
      <c r="O29" s="3">
        <v>45879</v>
      </c>
    </row>
    <row r="30" spans="1:15" x14ac:dyDescent="0.2">
      <c r="A30" s="2" t="s">
        <v>57</v>
      </c>
      <c r="B30" s="2" t="s">
        <v>60</v>
      </c>
      <c r="C30" s="2" t="s">
        <v>18</v>
      </c>
      <c r="D30" s="2" t="s">
        <v>8</v>
      </c>
      <c r="E30" s="2" t="s">
        <v>59</v>
      </c>
      <c r="F30" s="2" t="s">
        <v>59</v>
      </c>
      <c r="G30" s="6">
        <v>30</v>
      </c>
      <c r="H30" s="7">
        <v>999</v>
      </c>
      <c r="I30" s="6">
        <v>29970</v>
      </c>
      <c r="J30" s="4">
        <v>100</v>
      </c>
      <c r="K30" s="5">
        <v>3870</v>
      </c>
      <c r="L30" s="8">
        <f t="shared" si="5"/>
        <v>899</v>
      </c>
      <c r="M30" s="6">
        <f t="shared" si="3"/>
        <v>-26100</v>
      </c>
      <c r="N30" s="3">
        <v>45859</v>
      </c>
      <c r="O30" s="3">
        <v>45879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2025-07-28T17:48:46Z</dcterms:created>
  <dcterms:modified xsi:type="dcterms:W3CDTF">2025-08-06T13:36:21Z</dcterms:modified>
  <cp:category/>
</cp:coreProperties>
</file>