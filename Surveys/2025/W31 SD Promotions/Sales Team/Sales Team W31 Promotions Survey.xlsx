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1 SD\Sales Team\"/>
    </mc:Choice>
  </mc:AlternateContent>
  <xr:revisionPtr revIDLastSave="0" documentId="13_ncr:1_{94DE2C6C-1271-4675-B337-0F5BBD9FA3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today" sheetId="9" r:id="rId1"/>
  </sheets>
  <definedNames>
    <definedName name="_xlnm._FilterDatabase" localSheetId="0" hidden="1">'AS of today'!$A$1:$J$12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9" l="1"/>
  <c r="R2" i="9"/>
  <c r="Q2" i="9"/>
  <c r="P2" i="9"/>
  <c r="G12" i="9"/>
  <c r="G11" i="9"/>
  <c r="G10" i="9"/>
  <c r="G9" i="9"/>
  <c r="G8" i="9"/>
  <c r="G7" i="9"/>
  <c r="G6" i="9"/>
  <c r="G5" i="9"/>
  <c r="G4" i="9"/>
  <c r="G3" i="9"/>
  <c r="G2" i="9"/>
  <c r="J12" i="9"/>
  <c r="K12" i="9" s="1"/>
  <c r="J11" i="9"/>
  <c r="K11" i="9" s="1"/>
  <c r="J10" i="9"/>
  <c r="K10" i="9" s="1"/>
  <c r="J9" i="9"/>
  <c r="K9" i="9" s="1"/>
  <c r="J8" i="9"/>
  <c r="K8" i="9" s="1"/>
  <c r="J7" i="9"/>
  <c r="K7" i="9" s="1"/>
  <c r="J6" i="9"/>
  <c r="K6" i="9" s="1"/>
  <c r="J5" i="9"/>
  <c r="K5" i="9" s="1"/>
  <c r="J4" i="9"/>
  <c r="K4" i="9" s="1"/>
  <c r="J3" i="9"/>
  <c r="K3" i="9" s="1"/>
  <c r="J2" i="9"/>
  <c r="K2" i="9" s="1"/>
  <c r="L9" i="9" l="1"/>
  <c r="M9" i="9" s="1"/>
  <c r="N9" i="9" s="1"/>
  <c r="L6" i="9"/>
  <c r="M6" i="9" s="1"/>
  <c r="N6" i="9" s="1"/>
  <c r="L7" i="9"/>
  <c r="M7" i="9" s="1"/>
  <c r="N7" i="9" s="1"/>
  <c r="L8" i="9"/>
  <c r="L5" i="9"/>
  <c r="M5" i="9" s="1"/>
  <c r="N5" i="9" s="1"/>
  <c r="L11" i="9"/>
  <c r="M11" i="9" s="1"/>
  <c r="N11" i="9" s="1"/>
  <c r="L12" i="9"/>
  <c r="M12" i="9" s="1"/>
  <c r="N12" i="9" s="1"/>
  <c r="L2" i="9"/>
  <c r="M2" i="9" s="1"/>
  <c r="L10" i="9"/>
  <c r="M10" i="9" s="1"/>
  <c r="N10" i="9" s="1"/>
  <c r="L3" i="9"/>
  <c r="M3" i="9" s="1"/>
  <c r="L4" i="9"/>
  <c r="M8" i="9" l="1"/>
  <c r="N8" i="9" s="1"/>
  <c r="Q3" i="9"/>
  <c r="S2" i="9" s="1"/>
  <c r="N2" i="9"/>
  <c r="N3" i="9"/>
  <c r="M4" i="9"/>
  <c r="N4" i="9" s="1"/>
</calcChain>
</file>

<file path=xl/sharedStrings.xml><?xml version="1.0" encoding="utf-8"?>
<sst xmlns="http://schemas.openxmlformats.org/spreadsheetml/2006/main" count="60" uniqueCount="30">
  <si>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</si>
  <si>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</si>
  <si>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</si>
  <si>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</si>
  <si>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</si>
  <si>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</si>
  <si>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</si>
  <si>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</si>
  <si>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</si>
  <si>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</si>
  <si>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</si>
  <si>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</si>
  <si>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</si>
  <si>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</si>
  <si>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</si>
  <si>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</si>
  <si>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</si>
  <si>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</si>
  <si>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</si>
  <si>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</si>
  <si>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Amount difference</t>
  </si>
  <si>
    <t>FINAL</t>
  </si>
  <si>
    <t>A0S3A0A250000736</t>
  </si>
  <si>
    <t>VITEL W29-W31 Watch8 Launching ST Promo</t>
  </si>
  <si>
    <t>A0S3A0A250000770</t>
  </si>
  <si>
    <t>VITEL W31 VE Sell-Thru Promotion</t>
  </si>
  <si>
    <t>G-WATCH8</t>
  </si>
  <si>
    <t>G-WATCH8-CLASSIC</t>
  </si>
  <si>
    <t>0736</t>
  </si>
  <si>
    <t>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</si>
</sst>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4" fontId="0" fillId="4" borderId="1" xfId="0" applyNumberForma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0" fontId="0" fillId="0" borderId="0" xfId="0" quotePrefix="1"/>
    <xf numFmtId="8" fontId="0" fillId="0" borderId="0" xfId="0" applyNumberFormat="1"/>
    <xf numFmtId="44" fontId="0" fillId="0" borderId="0" xfId="0" applyNumberFormat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S14"/>
  <sheetViews>
    <sheetView showGridLines="0" tabSelected="1" zoomScale="115" zoomScaleNormal="115" workbookViewId="0">
      <pane ySplit="1" topLeftCell="A2" activePane="bottomLeft" state="frozen"/>
      <selection pane="bottomLeft" activeCell="O12" sqref="O12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customWidth="1"/>
    <col min="5" max="7" width="14.28515625" customWidth="1"/>
    <col min="8" max="8" width="14.28515625" style="13" customWidth="1"/>
    <col min="9" max="10" width="14.28515625" customWidth="1"/>
    <col min="11" max="11" width="9.140625" customWidth="1"/>
    <col min="12" max="12" width="12" bestFit="1" customWidth="1"/>
    <col min="13" max="13" width="16" bestFit="1" customWidth="1"/>
    <col min="14" max="14" width="11.140625" style="11" bestFit="1" customWidth="1"/>
    <col min="16" max="16" width="10.42578125" hidden="1" customWidth="1"/>
    <col min="17" max="17" width="11" hidden="1" customWidth="1"/>
    <col min="19" max="19" width="10.42578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20</v>
      </c>
      <c r="N1" s="9" t="s">
        <v>21</v>
      </c>
      <c r="R1" s="14" t="s">
        <v>28</v>
      </c>
      <c r="S1" s="14" t="s">
        <v>29</v>
      </c>
    </row>
    <row r="2" spans="1:19" x14ac:dyDescent="0.2">
      <c r="A2" s="2" t="s">
        <v>22</v>
      </c>
      <c r="B2" s="2" t="s">
        <v>23</v>
      </c>
      <c r="C2" s="2" t="s">
        <v>26</v>
      </c>
      <c r="D2" s="2" t="s">
        <v>26</v>
      </c>
      <c r="E2" s="3">
        <v>43</v>
      </c>
      <c r="F2" s="8">
        <v>482</v>
      </c>
      <c r="G2" s="3">
        <f>E2*F2</f>
        <v>20726</v>
      </c>
      <c r="H2" s="6">
        <v>488</v>
      </c>
      <c r="I2" s="5"/>
      <c r="J2" s="6">
        <f>H2+I2</f>
        <v>488</v>
      </c>
      <c r="K2" s="6">
        <f t="shared" ref="K2:K12" si="0">F2-J2</f>
        <v>-6</v>
      </c>
      <c r="L2" s="7">
        <f>J2*E2</f>
        <v>20984</v>
      </c>
      <c r="M2" s="7">
        <f>G2-L2</f>
        <v>-258</v>
      </c>
      <c r="N2" s="10" t="str">
        <f>IF(M2&gt;0,"KEEP SELLING", "DO NOT SELL")</f>
        <v>DO NOT SELL</v>
      </c>
      <c r="P2" s="15">
        <f>SUM(G2:G3)</f>
        <v>40823</v>
      </c>
      <c r="Q2" s="16">
        <f>SUM(L2:L3)</f>
        <v>41081</v>
      </c>
      <c r="R2" s="15">
        <f>P2-Q2</f>
        <v>-258</v>
      </c>
      <c r="S2" s="15">
        <f>P3-Q3</f>
        <v>20220</v>
      </c>
    </row>
    <row r="3" spans="1:19" x14ac:dyDescent="0.2">
      <c r="A3" s="2" t="s">
        <v>22</v>
      </c>
      <c r="B3" s="2" t="s">
        <v>23</v>
      </c>
      <c r="C3" s="2" t="s">
        <v>27</v>
      </c>
      <c r="D3" s="2" t="s">
        <v>27</v>
      </c>
      <c r="E3" s="3">
        <v>77</v>
      </c>
      <c r="F3" s="8">
        <v>261</v>
      </c>
      <c r="G3" s="3">
        <f t="shared" ref="G3:G12" si="1">E3*F3</f>
        <v>20097</v>
      </c>
      <c r="H3" s="6">
        <v>261</v>
      </c>
      <c r="I3" s="5"/>
      <c r="J3" s="6">
        <f t="shared" ref="J3:J12" si="2">H3+I3</f>
        <v>261</v>
      </c>
      <c r="K3" s="6">
        <f t="shared" si="0"/>
        <v>0</v>
      </c>
      <c r="L3" s="7">
        <f t="shared" ref="L3:L12" si="3">J3*E3</f>
        <v>20097</v>
      </c>
      <c r="M3" s="7">
        <f t="shared" ref="M3:M12" si="4">G3-L3</f>
        <v>0</v>
      </c>
      <c r="N3" s="10" t="str">
        <f t="shared" ref="N3:N12" si="5">IF(M3&gt;0,"KEEP SELLING", "DO NOT SELL")</f>
        <v>DO NOT SELL</v>
      </c>
      <c r="P3" s="15">
        <f>SUM(G4:G12)</f>
        <v>42510</v>
      </c>
      <c r="Q3" s="16">
        <f>SUM(L4:L12)</f>
        <v>22290</v>
      </c>
    </row>
    <row r="4" spans="1:19" x14ac:dyDescent="0.2">
      <c r="A4" s="2" t="s">
        <v>24</v>
      </c>
      <c r="B4" s="2" t="s">
        <v>25</v>
      </c>
      <c r="C4" s="2" t="s">
        <v>11</v>
      </c>
      <c r="D4" s="2" t="s">
        <v>11</v>
      </c>
      <c r="E4" s="3">
        <v>10</v>
      </c>
      <c r="F4" s="8">
        <v>330</v>
      </c>
      <c r="G4" s="3">
        <f t="shared" si="1"/>
        <v>3300</v>
      </c>
      <c r="H4" s="6">
        <v>0</v>
      </c>
      <c r="I4" s="5">
        <v>1100</v>
      </c>
      <c r="J4" s="6">
        <f t="shared" si="2"/>
        <v>1100</v>
      </c>
      <c r="K4" s="6">
        <f t="shared" si="0"/>
        <v>-770</v>
      </c>
      <c r="L4" s="7">
        <f t="shared" si="3"/>
        <v>11000</v>
      </c>
      <c r="M4" s="7">
        <f t="shared" si="4"/>
        <v>-7700</v>
      </c>
      <c r="N4" s="10" t="str">
        <f t="shared" si="5"/>
        <v>DO NOT SELL</v>
      </c>
    </row>
    <row r="5" spans="1:19" x14ac:dyDescent="0.2">
      <c r="A5" s="2" t="s">
        <v>24</v>
      </c>
      <c r="B5" s="2" t="s">
        <v>25</v>
      </c>
      <c r="C5" s="2" t="s">
        <v>12</v>
      </c>
      <c r="D5" s="2" t="s">
        <v>12</v>
      </c>
      <c r="E5" s="3">
        <v>10</v>
      </c>
      <c r="F5" s="8">
        <v>2981</v>
      </c>
      <c r="G5" s="3">
        <f t="shared" si="1"/>
        <v>29810</v>
      </c>
      <c r="H5" s="6">
        <v>400</v>
      </c>
      <c r="I5" s="5">
        <v>400</v>
      </c>
      <c r="J5" s="6">
        <f t="shared" si="2"/>
        <v>800</v>
      </c>
      <c r="K5" s="6">
        <f t="shared" si="0"/>
        <v>2181</v>
      </c>
      <c r="L5" s="7">
        <f t="shared" si="3"/>
        <v>8000</v>
      </c>
      <c r="M5" s="7">
        <f t="shared" si="4"/>
        <v>21810</v>
      </c>
      <c r="N5" s="10" t="str">
        <f t="shared" si="5"/>
        <v>KEEP SELLING</v>
      </c>
    </row>
    <row r="6" spans="1:19" x14ac:dyDescent="0.2">
      <c r="A6" s="2" t="s">
        <v>24</v>
      </c>
      <c r="B6" s="2" t="s">
        <v>25</v>
      </c>
      <c r="C6" s="2" t="s">
        <v>13</v>
      </c>
      <c r="D6" s="2" t="s">
        <v>13</v>
      </c>
      <c r="E6" s="3">
        <v>5</v>
      </c>
      <c r="F6" s="8">
        <v>0</v>
      </c>
      <c r="G6" s="3">
        <f t="shared" si="1"/>
        <v>0</v>
      </c>
      <c r="H6" s="6">
        <v>0</v>
      </c>
      <c r="I6" s="5"/>
      <c r="J6" s="6">
        <f t="shared" si="2"/>
        <v>0</v>
      </c>
      <c r="K6" s="6">
        <f t="shared" si="0"/>
        <v>0</v>
      </c>
      <c r="L6" s="7">
        <f t="shared" si="3"/>
        <v>0</v>
      </c>
      <c r="M6" s="7">
        <f t="shared" si="4"/>
        <v>0</v>
      </c>
      <c r="N6" s="10" t="str">
        <f t="shared" si="5"/>
        <v>DO NOT SELL</v>
      </c>
    </row>
    <row r="7" spans="1:19" x14ac:dyDescent="0.2">
      <c r="A7" s="2" t="s">
        <v>24</v>
      </c>
      <c r="B7" s="2" t="s">
        <v>25</v>
      </c>
      <c r="C7" s="2" t="s">
        <v>14</v>
      </c>
      <c r="D7" s="2" t="s">
        <v>14</v>
      </c>
      <c r="E7" s="3">
        <v>10</v>
      </c>
      <c r="F7" s="8">
        <v>100</v>
      </c>
      <c r="G7" s="3">
        <f t="shared" si="1"/>
        <v>1000</v>
      </c>
      <c r="H7" s="6">
        <v>20</v>
      </c>
      <c r="I7" s="5"/>
      <c r="J7" s="6">
        <f t="shared" si="2"/>
        <v>20</v>
      </c>
      <c r="K7" s="6">
        <f t="shared" si="0"/>
        <v>80</v>
      </c>
      <c r="L7" s="7">
        <f t="shared" si="3"/>
        <v>200</v>
      </c>
      <c r="M7" s="7">
        <f t="shared" si="4"/>
        <v>800</v>
      </c>
      <c r="N7" s="10" t="str">
        <f t="shared" si="5"/>
        <v>KEEP SELLING</v>
      </c>
    </row>
    <row r="8" spans="1:19" x14ac:dyDescent="0.2">
      <c r="A8" s="2" t="s">
        <v>24</v>
      </c>
      <c r="B8" s="2" t="s">
        <v>25</v>
      </c>
      <c r="C8" s="2" t="s">
        <v>15</v>
      </c>
      <c r="D8" s="2" t="s">
        <v>15</v>
      </c>
      <c r="E8" s="3">
        <v>10</v>
      </c>
      <c r="F8" s="8">
        <v>150</v>
      </c>
      <c r="G8" s="3">
        <f t="shared" si="1"/>
        <v>1500</v>
      </c>
      <c r="H8" s="6">
        <v>27</v>
      </c>
      <c r="I8" s="5"/>
      <c r="J8" s="6">
        <f t="shared" si="2"/>
        <v>27</v>
      </c>
      <c r="K8" s="6">
        <f t="shared" si="0"/>
        <v>123</v>
      </c>
      <c r="L8" s="7">
        <f t="shared" si="3"/>
        <v>270</v>
      </c>
      <c r="M8" s="7">
        <f t="shared" si="4"/>
        <v>1230</v>
      </c>
      <c r="N8" s="10" t="str">
        <f t="shared" si="5"/>
        <v>KEEP SELLING</v>
      </c>
    </row>
    <row r="9" spans="1:19" x14ac:dyDescent="0.2">
      <c r="A9" s="2" t="s">
        <v>24</v>
      </c>
      <c r="B9" s="2" t="s">
        <v>25</v>
      </c>
      <c r="C9" s="2" t="s">
        <v>16</v>
      </c>
      <c r="D9" s="2" t="s">
        <v>16</v>
      </c>
      <c r="E9" s="3">
        <v>30</v>
      </c>
      <c r="F9" s="8">
        <v>60</v>
      </c>
      <c r="G9" s="3">
        <f t="shared" si="1"/>
        <v>1800</v>
      </c>
      <c r="H9" s="6">
        <v>0</v>
      </c>
      <c r="I9" s="5"/>
      <c r="J9" s="6">
        <f t="shared" si="2"/>
        <v>0</v>
      </c>
      <c r="K9" s="6">
        <f t="shared" si="0"/>
        <v>60</v>
      </c>
      <c r="L9" s="7">
        <f t="shared" si="3"/>
        <v>0</v>
      </c>
      <c r="M9" s="7">
        <f t="shared" si="4"/>
        <v>1800</v>
      </c>
      <c r="N9" s="10" t="str">
        <f t="shared" si="5"/>
        <v>KEEP SELLING</v>
      </c>
    </row>
    <row r="10" spans="1:19" x14ac:dyDescent="0.2">
      <c r="A10" s="2" t="s">
        <v>24</v>
      </c>
      <c r="B10" s="2" t="s">
        <v>25</v>
      </c>
      <c r="C10" s="2" t="s">
        <v>17</v>
      </c>
      <c r="D10" s="2" t="s">
        <v>17</v>
      </c>
      <c r="E10" s="3">
        <v>30</v>
      </c>
      <c r="F10" s="8">
        <v>20</v>
      </c>
      <c r="G10" s="3">
        <f t="shared" si="1"/>
        <v>600</v>
      </c>
      <c r="H10" s="6">
        <v>0</v>
      </c>
      <c r="I10" s="5"/>
      <c r="J10" s="6">
        <f t="shared" si="2"/>
        <v>0</v>
      </c>
      <c r="K10" s="6">
        <f t="shared" si="0"/>
        <v>20</v>
      </c>
      <c r="L10" s="7">
        <f t="shared" si="3"/>
        <v>0</v>
      </c>
      <c r="M10" s="7">
        <f t="shared" si="4"/>
        <v>600</v>
      </c>
      <c r="N10" s="10" t="str">
        <f t="shared" si="5"/>
        <v>KEEP SELLING</v>
      </c>
    </row>
    <row r="11" spans="1:19" x14ac:dyDescent="0.2">
      <c r="A11" s="2" t="s">
        <v>24</v>
      </c>
      <c r="B11" s="2" t="s">
        <v>25</v>
      </c>
      <c r="C11" s="2" t="s">
        <v>18</v>
      </c>
      <c r="D11" s="2" t="s">
        <v>18</v>
      </c>
      <c r="E11" s="3">
        <v>30</v>
      </c>
      <c r="F11" s="4">
        <v>0</v>
      </c>
      <c r="G11" s="3">
        <f t="shared" si="1"/>
        <v>0</v>
      </c>
      <c r="H11" s="6">
        <v>0</v>
      </c>
      <c r="I11" s="5"/>
      <c r="J11" s="6">
        <f t="shared" si="2"/>
        <v>0</v>
      </c>
      <c r="K11" s="6">
        <f>F11-J11</f>
        <v>0</v>
      </c>
      <c r="L11" s="7">
        <f t="shared" si="3"/>
        <v>0</v>
      </c>
      <c r="M11" s="7">
        <f t="shared" si="4"/>
        <v>0</v>
      </c>
      <c r="N11" s="10" t="str">
        <f t="shared" si="5"/>
        <v>DO NOT SELL</v>
      </c>
    </row>
    <row r="12" spans="1:19" ht="11.25" customHeight="1" x14ac:dyDescent="0.2">
      <c r="A12" s="2" t="s">
        <v>24</v>
      </c>
      <c r="B12" s="2" t="s">
        <v>25</v>
      </c>
      <c r="C12" s="2" t="s">
        <v>19</v>
      </c>
      <c r="D12" s="2" t="s">
        <v>19</v>
      </c>
      <c r="E12" s="3">
        <v>30</v>
      </c>
      <c r="F12" s="4">
        <v>150</v>
      </c>
      <c r="G12" s="3">
        <f t="shared" si="1"/>
        <v>4500</v>
      </c>
      <c r="H12" s="6">
        <v>94</v>
      </c>
      <c r="I12" s="5"/>
      <c r="J12" s="6">
        <f t="shared" si="2"/>
        <v>94</v>
      </c>
      <c r="K12" s="6">
        <f t="shared" si="0"/>
        <v>56</v>
      </c>
      <c r="L12" s="7">
        <f t="shared" si="3"/>
        <v>2820</v>
      </c>
      <c r="M12" s="7">
        <f t="shared" si="4"/>
        <v>1680</v>
      </c>
      <c r="N12" s="10" t="str">
        <f t="shared" si="5"/>
        <v>KEEP SELLING</v>
      </c>
    </row>
    <row r="13" spans="1:19" hidden="1" x14ac:dyDescent="0.2"/>
    <row r="14" spans="1:19" hidden="1" x14ac:dyDescent="0.2"/>
  </sheetData>
  <conditionalFormatting sqref="H2:I12">
    <cfRule type="cellIs" dxfId="3" priority="8" operator="lessThan">
      <formula>0</formula>
    </cfRule>
  </conditionalFormatting>
  <conditionalFormatting sqref="K2:N12">
    <cfRule type="cellIs" dxfId="2" priority="4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today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2025-08-01T21:07:40Z</dcterms:modified>
  <cp:category/>
  <cp:contentStatus/>
</cp:coreProperties>
</file>