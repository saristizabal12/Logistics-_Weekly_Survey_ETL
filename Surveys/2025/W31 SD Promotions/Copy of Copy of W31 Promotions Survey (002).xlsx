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31 SD\"/>
    </mc:Choice>
  </mc:AlternateContent>
  <xr:revisionPtr revIDLastSave="0" documentId="13_ncr:1_{72D04778-3D15-4187-850F-DE20C75E170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urvey" sheetId="1" r:id="rId1"/>
  </sheets>
  <definedNames>
    <definedName name="_xlnm._FilterDatabase" localSheetId="0" hidden="1">Survey!$A$1:$O$12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1" l="1"/>
  <c r="I11" i="1"/>
  <c r="I10" i="1"/>
  <c r="I9" i="1"/>
  <c r="I8" i="1"/>
  <c r="I7" i="1"/>
  <c r="I6" i="1"/>
  <c r="I5" i="1"/>
  <c r="I4" i="1"/>
  <c r="I3" i="1"/>
  <c r="I2" i="1"/>
  <c r="L12" i="1"/>
  <c r="L11" i="1"/>
  <c r="L10" i="1"/>
  <c r="L9" i="1"/>
  <c r="L8" i="1"/>
  <c r="L7" i="1"/>
  <c r="L6" i="1"/>
  <c r="L5" i="1"/>
  <c r="L4" i="1"/>
  <c r="L3" i="1"/>
  <c r="L2" i="1"/>
  <c r="K12" i="1"/>
  <c r="K11" i="1"/>
  <c r="K10" i="1"/>
  <c r="K9" i="1"/>
  <c r="K8" i="1"/>
  <c r="K7" i="1"/>
  <c r="K6" i="1"/>
  <c r="K5" i="1"/>
  <c r="K4" i="1"/>
  <c r="M4" i="1" s="1"/>
  <c r="K3" i="1"/>
  <c r="K2" i="1"/>
  <c r="M3" i="1" l="1"/>
  <c r="M12" i="1"/>
  <c r="M9" i="1"/>
  <c r="M5" i="1"/>
  <c r="M6" i="1"/>
  <c r="M7" i="1"/>
  <c r="M10" i="1"/>
  <c r="M11" i="1"/>
  <c r="M2" i="1"/>
  <c r="M8" i="1"/>
</calcChain>
</file>

<file path=xl/sharedStrings.xml><?xml version="1.0" encoding="utf-8"?>
<sst xmlns="http://schemas.openxmlformats.org/spreadsheetml/2006/main" count="81" uniqueCount="33">
  <si>
    <t>Condition Document No</t>
  </si>
  <si>
    <t>Condition Text</t>
  </si>
  <si>
    <t>Group Condition Document No</t>
  </si>
  <si>
    <t>Customer Text</t>
  </si>
  <si>
    <t>Product</t>
  </si>
  <si>
    <t>Product Text</t>
  </si>
  <si>
    <t>Start Date of Condition</t>
  </si>
  <si>
    <t>End Date of Condition</t>
  </si>
  <si>
    <t>VITEL MOBILE, INC.</t>
  </si>
  <si>
    <t>G-A06</t>
  </si>
  <si>
    <t>G-A16</t>
  </si>
  <si>
    <t>G-A16-5G</t>
  </si>
  <si>
    <t>G-A36-5G</t>
  </si>
  <si>
    <t>G-A56-5G</t>
  </si>
  <si>
    <t>G-S24-ULTRA</t>
  </si>
  <si>
    <t>G-S25</t>
  </si>
  <si>
    <t>G-S25+</t>
  </si>
  <si>
    <t>G-S25-ULTRA</t>
  </si>
  <si>
    <t>A2S3A0A250000273</t>
  </si>
  <si>
    <t>G-WATCH8</t>
  </si>
  <si>
    <t>G-WATCH8-CLASSIC</t>
  </si>
  <si>
    <t>A0S3A0A250000736</t>
  </si>
  <si>
    <t>VITEL W29-W31 Watch8 Launching ST Promo</t>
  </si>
  <si>
    <t>A2S3A0A250000283</t>
  </si>
  <si>
    <t>A0S3A0A250000770</t>
  </si>
  <si>
    <t>VITEL W31 VE Sell-Thru Promotion</t>
  </si>
  <si>
    <t>AS-IS Quantity</t>
  </si>
  <si>
    <t>AS-IS Amt($)</t>
  </si>
  <si>
    <t>TO-BE Quantity</t>
  </si>
  <si>
    <t>TO-BE Amt($)</t>
  </si>
  <si>
    <t>DELTA Quantity</t>
  </si>
  <si>
    <t>DELTA Amt($)</t>
  </si>
  <si>
    <t>Incentive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</si>
</sst>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4" fontId="0" fillId="3" borderId="1" xfId="0" applyNumberFormat="1" applyFill="1" applyBorder="1"/>
    <xf numFmtId="8" fontId="0" fillId="3" borderId="1" xfId="0" applyNumberFormat="1" applyFill="1" applyBorder="1"/>
    <xf numFmtId="8" fontId="0" fillId="4" borderId="1" xfId="0" applyNumberFormat="1" applyFill="1" applyBorder="1"/>
    <xf numFmtId="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showGridLines="0" tabSelected="1" workbookViewId="0">
      <pane ySplit="1" topLeftCell="A2" activePane="bottomLeft" state="frozen"/>
      <selection pane="bottomLeft" activeCell="M5" sqref="M5"/>
    </sheetView>
  </sheetViews>
  <sheetFormatPr defaultRowHeight="12.75" x14ac:dyDescent="0.2"/>
  <cols>
    <col min="1" max="1" width="20.140625" bestFit="1" customWidth="1"/>
    <col min="2" max="2" width="51.5703125" bestFit="1" customWidth="1"/>
    <col min="3" max="3" width="25.7109375" bestFit="1" customWidth="1"/>
    <col min="4" max="4" width="32.7109375" bestFit="1" customWidth="1"/>
    <col min="5" max="5" width="16.140625" bestFit="1" customWidth="1"/>
    <col min="6" max="6" width="33" bestFit="1" customWidth="1"/>
    <col min="7" max="13" width="13.5703125" customWidth="1"/>
    <col min="14" max="14" width="19.28515625" bestFit="1" customWidth="1"/>
    <col min="15" max="15" width="18.28515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32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6</v>
      </c>
      <c r="O1" s="1" t="s">
        <v>7</v>
      </c>
    </row>
    <row r="2" spans="1:15" x14ac:dyDescent="0.2">
      <c r="A2" s="2" t="s">
        <v>21</v>
      </c>
      <c r="B2" s="2" t="s">
        <v>22</v>
      </c>
      <c r="C2" s="2" t="s">
        <v>18</v>
      </c>
      <c r="D2" s="2" t="s">
        <v>8</v>
      </c>
      <c r="E2" s="2" t="s">
        <v>19</v>
      </c>
      <c r="F2" s="2" t="s">
        <v>19</v>
      </c>
      <c r="G2" s="6">
        <v>43</v>
      </c>
      <c r="H2" s="7">
        <v>221</v>
      </c>
      <c r="I2" s="6">
        <f t="shared" ref="I2:I3" si="0">H2*$G2</f>
        <v>9503</v>
      </c>
      <c r="J2" s="4">
        <v>482</v>
      </c>
      <c r="K2" s="5">
        <f t="shared" ref="K2:K3" si="1">J2*$G2</f>
        <v>20726</v>
      </c>
      <c r="L2" s="7">
        <f t="shared" ref="L2:L3" si="2">J2-H2</f>
        <v>261</v>
      </c>
      <c r="M2" s="6">
        <f t="shared" ref="M2:M3" si="3">K2-I2</f>
        <v>11223</v>
      </c>
      <c r="N2" s="3">
        <v>45852</v>
      </c>
      <c r="O2" s="3">
        <v>45872</v>
      </c>
    </row>
    <row r="3" spans="1:15" x14ac:dyDescent="0.2">
      <c r="A3" s="2" t="s">
        <v>21</v>
      </c>
      <c r="B3" s="2" t="s">
        <v>22</v>
      </c>
      <c r="C3" s="2" t="s">
        <v>18</v>
      </c>
      <c r="D3" s="2" t="s">
        <v>8</v>
      </c>
      <c r="E3" s="2" t="s">
        <v>20</v>
      </c>
      <c r="F3" s="2" t="s">
        <v>20</v>
      </c>
      <c r="G3" s="6">
        <v>77</v>
      </c>
      <c r="H3" s="7">
        <v>253</v>
      </c>
      <c r="I3" s="6">
        <f t="shared" si="0"/>
        <v>19481</v>
      </c>
      <c r="J3" s="4">
        <v>261</v>
      </c>
      <c r="K3" s="5">
        <f t="shared" si="1"/>
        <v>20097</v>
      </c>
      <c r="L3" s="7">
        <f t="shared" si="2"/>
        <v>8</v>
      </c>
      <c r="M3" s="6">
        <f t="shared" si="3"/>
        <v>616</v>
      </c>
      <c r="N3" s="3">
        <v>45852</v>
      </c>
      <c r="O3" s="3">
        <v>45872</v>
      </c>
    </row>
    <row r="4" spans="1:15" x14ac:dyDescent="0.2">
      <c r="A4" s="2" t="s">
        <v>24</v>
      </c>
      <c r="B4" s="2" t="s">
        <v>25</v>
      </c>
      <c r="C4" s="2" t="s">
        <v>23</v>
      </c>
      <c r="D4" s="2" t="s">
        <v>8</v>
      </c>
      <c r="E4" s="2" t="s">
        <v>9</v>
      </c>
      <c r="F4" s="2" t="s">
        <v>9</v>
      </c>
      <c r="G4" s="6">
        <v>10</v>
      </c>
      <c r="H4" s="7">
        <v>330</v>
      </c>
      <c r="I4" s="6">
        <f t="shared" ref="I4:I12" si="4">H4*$G4</f>
        <v>3300</v>
      </c>
      <c r="J4" s="4">
        <v>330</v>
      </c>
      <c r="K4" s="5">
        <f t="shared" ref="K4:K12" si="5">J4*$G4</f>
        <v>3300</v>
      </c>
      <c r="L4" s="7">
        <f t="shared" ref="L4:L12" si="6">J4-H4</f>
        <v>0</v>
      </c>
      <c r="M4" s="6">
        <f t="shared" ref="M4:M12" si="7">K4-I4</f>
        <v>0</v>
      </c>
      <c r="N4" s="3">
        <v>45866</v>
      </c>
      <c r="O4" s="3">
        <v>45872</v>
      </c>
    </row>
    <row r="5" spans="1:15" x14ac:dyDescent="0.2">
      <c r="A5" s="2" t="s">
        <v>24</v>
      </c>
      <c r="B5" s="2" t="s">
        <v>25</v>
      </c>
      <c r="C5" s="2" t="s">
        <v>23</v>
      </c>
      <c r="D5" s="2" t="s">
        <v>8</v>
      </c>
      <c r="E5" s="2" t="s">
        <v>10</v>
      </c>
      <c r="F5" s="2" t="s">
        <v>10</v>
      </c>
      <c r="G5" s="6">
        <v>10</v>
      </c>
      <c r="H5" s="7">
        <v>2981</v>
      </c>
      <c r="I5" s="6">
        <f t="shared" si="4"/>
        <v>29810</v>
      </c>
      <c r="J5" s="4">
        <v>2981</v>
      </c>
      <c r="K5" s="5">
        <f t="shared" si="5"/>
        <v>29810</v>
      </c>
      <c r="L5" s="7">
        <f t="shared" si="6"/>
        <v>0</v>
      </c>
      <c r="M5" s="6">
        <f t="shared" si="7"/>
        <v>0</v>
      </c>
      <c r="N5" s="3">
        <v>45866</v>
      </c>
      <c r="O5" s="3">
        <v>45872</v>
      </c>
    </row>
    <row r="6" spans="1:15" x14ac:dyDescent="0.2">
      <c r="A6" s="2" t="s">
        <v>24</v>
      </c>
      <c r="B6" s="2" t="s">
        <v>25</v>
      </c>
      <c r="C6" s="2" t="s">
        <v>23</v>
      </c>
      <c r="D6" s="2" t="s">
        <v>8</v>
      </c>
      <c r="E6" s="2" t="s">
        <v>11</v>
      </c>
      <c r="F6" s="2" t="s">
        <v>11</v>
      </c>
      <c r="G6" s="6">
        <v>5</v>
      </c>
      <c r="H6" s="7">
        <v>315</v>
      </c>
      <c r="I6" s="6">
        <f t="shared" si="4"/>
        <v>1575</v>
      </c>
      <c r="J6" s="4">
        <v>0</v>
      </c>
      <c r="K6" s="5">
        <f t="shared" si="5"/>
        <v>0</v>
      </c>
      <c r="L6" s="7">
        <f t="shared" si="6"/>
        <v>-315</v>
      </c>
      <c r="M6" s="6">
        <f t="shared" si="7"/>
        <v>-1575</v>
      </c>
      <c r="N6" s="3">
        <v>45866</v>
      </c>
      <c r="O6" s="3">
        <v>45872</v>
      </c>
    </row>
    <row r="7" spans="1:15" x14ac:dyDescent="0.2">
      <c r="A7" s="2" t="s">
        <v>24</v>
      </c>
      <c r="B7" s="2" t="s">
        <v>25</v>
      </c>
      <c r="C7" s="2" t="s">
        <v>23</v>
      </c>
      <c r="D7" s="2" t="s">
        <v>8</v>
      </c>
      <c r="E7" s="2" t="s">
        <v>12</v>
      </c>
      <c r="F7" s="2" t="s">
        <v>12</v>
      </c>
      <c r="G7" s="6">
        <v>10</v>
      </c>
      <c r="H7" s="7">
        <v>333</v>
      </c>
      <c r="I7" s="6">
        <f t="shared" si="4"/>
        <v>3330</v>
      </c>
      <c r="J7" s="4">
        <v>100</v>
      </c>
      <c r="K7" s="5">
        <f t="shared" si="5"/>
        <v>1000</v>
      </c>
      <c r="L7" s="7">
        <f t="shared" si="6"/>
        <v>-233</v>
      </c>
      <c r="M7" s="6">
        <f t="shared" si="7"/>
        <v>-2330</v>
      </c>
      <c r="N7" s="3">
        <v>45866</v>
      </c>
      <c r="O7" s="3">
        <v>45872</v>
      </c>
    </row>
    <row r="8" spans="1:15" x14ac:dyDescent="0.2">
      <c r="A8" s="2" t="s">
        <v>24</v>
      </c>
      <c r="B8" s="2" t="s">
        <v>25</v>
      </c>
      <c r="C8" s="2" t="s">
        <v>23</v>
      </c>
      <c r="D8" s="2" t="s">
        <v>8</v>
      </c>
      <c r="E8" s="2" t="s">
        <v>13</v>
      </c>
      <c r="F8" s="2" t="s">
        <v>13</v>
      </c>
      <c r="G8" s="6">
        <v>10</v>
      </c>
      <c r="H8" s="7">
        <v>355</v>
      </c>
      <c r="I8" s="6">
        <f t="shared" si="4"/>
        <v>3550</v>
      </c>
      <c r="J8" s="4">
        <v>150</v>
      </c>
      <c r="K8" s="5">
        <f t="shared" si="5"/>
        <v>1500</v>
      </c>
      <c r="L8" s="7">
        <f t="shared" si="6"/>
        <v>-205</v>
      </c>
      <c r="M8" s="6">
        <f t="shared" si="7"/>
        <v>-2050</v>
      </c>
      <c r="N8" s="3">
        <v>45866</v>
      </c>
      <c r="O8" s="3">
        <v>45872</v>
      </c>
    </row>
    <row r="9" spans="1:15" x14ac:dyDescent="0.2">
      <c r="A9" s="2" t="s">
        <v>24</v>
      </c>
      <c r="B9" s="2" t="s">
        <v>25</v>
      </c>
      <c r="C9" s="2" t="s">
        <v>23</v>
      </c>
      <c r="D9" s="2" t="s">
        <v>8</v>
      </c>
      <c r="E9" s="2" t="s">
        <v>14</v>
      </c>
      <c r="F9" s="2" t="s">
        <v>14</v>
      </c>
      <c r="G9" s="6">
        <v>30</v>
      </c>
      <c r="H9" s="7">
        <v>129</v>
      </c>
      <c r="I9" s="6">
        <f t="shared" si="4"/>
        <v>3870</v>
      </c>
      <c r="J9" s="4">
        <v>60</v>
      </c>
      <c r="K9" s="5">
        <f t="shared" si="5"/>
        <v>1800</v>
      </c>
      <c r="L9" s="7">
        <f t="shared" si="6"/>
        <v>-69</v>
      </c>
      <c r="M9" s="6">
        <f t="shared" si="7"/>
        <v>-2070</v>
      </c>
      <c r="N9" s="3">
        <v>45866</v>
      </c>
      <c r="O9" s="3">
        <v>45872</v>
      </c>
    </row>
    <row r="10" spans="1:15" x14ac:dyDescent="0.2">
      <c r="A10" s="2" t="s">
        <v>24</v>
      </c>
      <c r="B10" s="2" t="s">
        <v>25</v>
      </c>
      <c r="C10" s="2" t="s">
        <v>23</v>
      </c>
      <c r="D10" s="2" t="s">
        <v>8</v>
      </c>
      <c r="E10" s="2" t="s">
        <v>15</v>
      </c>
      <c r="F10" s="2" t="s">
        <v>15</v>
      </c>
      <c r="G10" s="6">
        <v>30</v>
      </c>
      <c r="H10" s="7">
        <v>40</v>
      </c>
      <c r="I10" s="6">
        <f t="shared" si="4"/>
        <v>1200</v>
      </c>
      <c r="J10" s="4">
        <v>20</v>
      </c>
      <c r="K10" s="5">
        <f t="shared" si="5"/>
        <v>600</v>
      </c>
      <c r="L10" s="7">
        <f t="shared" si="6"/>
        <v>-20</v>
      </c>
      <c r="M10" s="6">
        <f t="shared" si="7"/>
        <v>-600</v>
      </c>
      <c r="N10" s="3">
        <v>45866</v>
      </c>
      <c r="O10" s="3">
        <v>45872</v>
      </c>
    </row>
    <row r="11" spans="1:15" x14ac:dyDescent="0.2">
      <c r="A11" s="2" t="s">
        <v>24</v>
      </c>
      <c r="B11" s="2" t="s">
        <v>25</v>
      </c>
      <c r="C11" s="2" t="s">
        <v>23</v>
      </c>
      <c r="D11" s="2" t="s">
        <v>8</v>
      </c>
      <c r="E11" s="2" t="s">
        <v>16</v>
      </c>
      <c r="F11" s="2" t="s">
        <v>16</v>
      </c>
      <c r="G11" s="6">
        <v>30</v>
      </c>
      <c r="H11" s="7">
        <v>31</v>
      </c>
      <c r="I11" s="6">
        <f t="shared" si="4"/>
        <v>930</v>
      </c>
      <c r="J11" s="4">
        <v>0</v>
      </c>
      <c r="K11" s="5">
        <f t="shared" si="5"/>
        <v>0</v>
      </c>
      <c r="L11" s="7">
        <f t="shared" si="6"/>
        <v>-31</v>
      </c>
      <c r="M11" s="6">
        <f t="shared" si="7"/>
        <v>-930</v>
      </c>
      <c r="N11" s="3">
        <v>45866</v>
      </c>
      <c r="O11" s="3">
        <v>45872</v>
      </c>
    </row>
    <row r="12" spans="1:15" x14ac:dyDescent="0.2">
      <c r="A12" s="2" t="s">
        <v>24</v>
      </c>
      <c r="B12" s="2" t="s">
        <v>25</v>
      </c>
      <c r="C12" s="2" t="s">
        <v>23</v>
      </c>
      <c r="D12" s="2" t="s">
        <v>8</v>
      </c>
      <c r="E12" s="2" t="s">
        <v>17</v>
      </c>
      <c r="F12" s="2" t="s">
        <v>17</v>
      </c>
      <c r="G12" s="6">
        <v>30</v>
      </c>
      <c r="H12" s="7">
        <v>448</v>
      </c>
      <c r="I12" s="6">
        <f t="shared" si="4"/>
        <v>13440</v>
      </c>
      <c r="J12" s="4">
        <v>150</v>
      </c>
      <c r="K12" s="5">
        <f t="shared" si="5"/>
        <v>4500</v>
      </c>
      <c r="L12" s="7">
        <f t="shared" si="6"/>
        <v>-298</v>
      </c>
      <c r="M12" s="6">
        <f t="shared" si="7"/>
        <v>-8940</v>
      </c>
      <c r="N12" s="3">
        <v>45866</v>
      </c>
      <c r="O12" s="3">
        <v>45872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2025-07-28T17:48:46Z</dcterms:created>
  <dcterms:modified xsi:type="dcterms:W3CDTF">2025-07-30T17:52:37Z</dcterms:modified>
  <cp:category/>
</cp:coreProperties>
</file>