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5 SD Promotions\"/>
    </mc:Choice>
  </mc:AlternateContent>
  <xr:revisionPtr revIDLastSave="0" documentId="13_ncr:1_{4DDB2B2F-5620-4A83-8D03-AFC87053C4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OICED" sheetId="3" r:id="rId1"/>
  </sheets>
  <definedNames>
    <definedName name="_xlnm._FilterDatabase" localSheetId="0" hidden="1">INVOICED!$A$1:$O$29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3" l="1"/>
  <c r="K17" i="3"/>
  <c r="M17" i="3" s="1"/>
  <c r="L27" i="3"/>
  <c r="K27" i="3"/>
  <c r="M27" i="3" s="1"/>
  <c r="L29" i="3"/>
  <c r="K29" i="3"/>
  <c r="M29" i="3" s="1"/>
  <c r="L25" i="3"/>
  <c r="K25" i="3"/>
  <c r="M25" i="3" s="1"/>
  <c r="L23" i="3"/>
  <c r="K23" i="3"/>
  <c r="M23" i="3" s="1"/>
  <c r="L21" i="3"/>
  <c r="K21" i="3"/>
  <c r="M21" i="3" s="1"/>
  <c r="L19" i="3"/>
  <c r="K19" i="3"/>
  <c r="M19" i="3" s="1"/>
  <c r="L16" i="3"/>
  <c r="K16" i="3"/>
  <c r="M16" i="3" s="1"/>
  <c r="L14" i="3"/>
  <c r="K14" i="3"/>
  <c r="M14" i="3" s="1"/>
  <c r="L12" i="3"/>
  <c r="K12" i="3"/>
  <c r="M12" i="3" s="1"/>
  <c r="L10" i="3"/>
  <c r="K10" i="3"/>
  <c r="M10" i="3" s="1"/>
  <c r="L8" i="3"/>
  <c r="K8" i="3"/>
  <c r="M8" i="3" s="1"/>
  <c r="L6" i="3"/>
  <c r="K6" i="3"/>
  <c r="M6" i="3" s="1"/>
  <c r="L4" i="3"/>
  <c r="K4" i="3"/>
  <c r="M4" i="3" s="1"/>
  <c r="L26" i="3"/>
  <c r="K26" i="3"/>
  <c r="M26" i="3" s="1"/>
  <c r="L28" i="3"/>
  <c r="K28" i="3"/>
  <c r="M28" i="3" s="1"/>
  <c r="L24" i="3"/>
  <c r="K24" i="3"/>
  <c r="M24" i="3" s="1"/>
  <c r="L22" i="3"/>
  <c r="K22" i="3"/>
  <c r="M22" i="3" s="1"/>
  <c r="L20" i="3"/>
  <c r="K20" i="3"/>
  <c r="M20" i="3" s="1"/>
  <c r="L18" i="3"/>
  <c r="K18" i="3"/>
  <c r="M18" i="3" s="1"/>
  <c r="L15" i="3"/>
  <c r="K15" i="3"/>
  <c r="M15" i="3" s="1"/>
  <c r="L13" i="3"/>
  <c r="K13" i="3"/>
  <c r="M13" i="3" s="1"/>
  <c r="L11" i="3"/>
  <c r="K11" i="3"/>
  <c r="M11" i="3" s="1"/>
  <c r="L9" i="3"/>
  <c r="K9" i="3"/>
  <c r="M9" i="3" s="1"/>
  <c r="L7" i="3"/>
  <c r="K7" i="3"/>
  <c r="M7" i="3" s="1"/>
  <c r="L5" i="3"/>
  <c r="K5" i="3"/>
  <c r="M5" i="3" s="1"/>
  <c r="L3" i="3"/>
  <c r="K3" i="3"/>
  <c r="M3" i="3" s="1"/>
  <c r="L2" i="3"/>
  <c r="K2" i="3"/>
  <c r="M2" i="3" s="1"/>
</calcChain>
</file>

<file path=xl/sharedStrings.xml><?xml version="1.0" encoding="utf-8"?>
<sst xmlns="http://schemas.openxmlformats.org/spreadsheetml/2006/main" count="183" uniqueCount="42">
  <si>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</si>
  <si>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</si>
  <si>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</si>
  <si>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</si>
  <si>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</si>
  <si>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</si>
  <si>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</si>
  <si>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</si>
  <si>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</si>
  <si>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</si>
  <si>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</si>
  <si>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</si>
  <si>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G-A06</t>
  </si>
  <si>
    <t>G-S24-FE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</si>
  <si>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</si>
  <si>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</si>
  <si>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</si>
  <si>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</si>
  <si>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</si>
  <si>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</si>
  <si>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</si>
  <si>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</si>
  <si>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</si>
  <si>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</si>
  <si>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</si>
  <si>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</si>
  <si>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A2S3A0A250000229</t>
  </si>
  <si>
    <t>A0S3A0A250000655</t>
  </si>
  <si>
    <t>VITEL W24-W25 MX Sell-Thru Promotion</t>
  </si>
  <si>
    <t>A2S3A0A250000228</t>
  </si>
  <si>
    <t>A0S3A0A250000661</t>
  </si>
  <si>
    <t>VITEL W24-W25 NRM Sell-Thru Promotion</t>
  </si>
  <si>
    <t>A2S3A0A250000240</t>
  </si>
  <si>
    <t>A0S3A0A250000674</t>
  </si>
  <si>
    <t>VITEL W25 Galaxy S24 FE OM ST Promo</t>
  </si>
  <si>
    <t>Incentive</t>
  </si>
  <si>
    <t>AS-IS Qty</t>
  </si>
  <si>
    <t>AS-IS Amt($)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</si>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</sst>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3" borderId="1" xfId="0" applyNumberFormat="1" applyFill="1" applyBorder="1"/>
    <xf numFmtId="1" fontId="0" fillId="0" borderId="0" xfId="0" applyNumberFormat="1"/>
    <xf numFmtId="1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7630-BE37-4A37-8CFF-ACC472610FC2}">
  <dimension ref="A1:O29"/>
  <sheetViews>
    <sheetView showGridLines="0" tabSelected="1" zoomScale="85" zoomScaleNormal="85" workbookViewId="0">
      <pane ySplit="1" topLeftCell="A2" activePane="bottomLeft" state="frozen"/>
      <selection pane="bottomLeft" activeCell="C32" sqref="C32"/>
    </sheetView>
  </sheetViews>
  <sheetFormatPr defaultRowHeight="12.75" x14ac:dyDescent="0.2"/>
  <cols>
    <col min="1" max="1" width="22.42578125" bestFit="1" customWidth="1"/>
    <col min="2" max="2" width="37" bestFit="1" customWidth="1"/>
    <col min="3" max="3" width="28" bestFit="1" customWidth="1"/>
    <col min="4" max="4" width="32.7109375" bestFit="1" customWidth="1"/>
    <col min="5" max="5" width="16" bestFit="1" customWidth="1"/>
    <col min="6" max="6" width="33" bestFit="1" customWidth="1"/>
    <col min="7" max="7" width="10.42578125" bestFit="1" customWidth="1"/>
    <col min="8" max="8" width="10.42578125" style="9" bestFit="1" customWidth="1"/>
    <col min="9" max="9" width="13.140625" bestFit="1" customWidth="1"/>
    <col min="10" max="10" width="11.140625" style="9" bestFit="1" customWidth="1"/>
    <col min="11" max="11" width="13.85546875" bestFit="1" customWidth="1"/>
    <col min="12" max="12" width="11.42578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35</v>
      </c>
      <c r="H1" s="7" t="s">
        <v>36</v>
      </c>
      <c r="I1" s="6" t="s">
        <v>37</v>
      </c>
      <c r="J1" s="7" t="s">
        <v>38</v>
      </c>
      <c r="K1" s="6" t="s">
        <v>39</v>
      </c>
      <c r="L1" s="6" t="s">
        <v>40</v>
      </c>
      <c r="M1" s="6" t="s">
        <v>41</v>
      </c>
      <c r="N1" s="6" t="s">
        <v>6</v>
      </c>
      <c r="O1" s="6" t="s">
        <v>7</v>
      </c>
    </row>
    <row r="2" spans="1:15" x14ac:dyDescent="0.2">
      <c r="A2" s="1" t="s">
        <v>27</v>
      </c>
      <c r="B2" s="1" t="s">
        <v>28</v>
      </c>
      <c r="C2" s="1" t="s">
        <v>26</v>
      </c>
      <c r="D2" s="1" t="s">
        <v>11</v>
      </c>
      <c r="E2" s="1" t="s">
        <v>12</v>
      </c>
      <c r="F2" s="1" t="s">
        <v>12</v>
      </c>
      <c r="G2" s="4">
        <v>10</v>
      </c>
      <c r="H2" s="5">
        <v>1488</v>
      </c>
      <c r="I2" s="4">
        <v>14880</v>
      </c>
      <c r="J2" s="8">
        <v>3470</v>
      </c>
      <c r="K2" s="3">
        <f>J2*G2</f>
        <v>34700</v>
      </c>
      <c r="L2" s="5">
        <f>J2-H2</f>
        <v>1982</v>
      </c>
      <c r="M2" s="4">
        <f>K2-I2</f>
        <v>19820</v>
      </c>
      <c r="N2" s="2">
        <v>45817</v>
      </c>
      <c r="O2" s="2">
        <v>45830</v>
      </c>
    </row>
    <row r="3" spans="1:15" x14ac:dyDescent="0.2">
      <c r="A3" s="1" t="s">
        <v>27</v>
      </c>
      <c r="B3" s="1" t="s">
        <v>28</v>
      </c>
      <c r="C3" s="1" t="s">
        <v>26</v>
      </c>
      <c r="D3" s="1" t="s">
        <v>11</v>
      </c>
      <c r="E3" s="1" t="s">
        <v>20</v>
      </c>
      <c r="F3" s="1" t="s">
        <v>20</v>
      </c>
      <c r="G3" s="4">
        <v>10</v>
      </c>
      <c r="H3" s="5">
        <v>924</v>
      </c>
      <c r="I3" s="4">
        <v>9240</v>
      </c>
      <c r="J3" s="8">
        <v>1290</v>
      </c>
      <c r="K3" s="3">
        <f>J3*G3</f>
        <v>12900</v>
      </c>
      <c r="L3" s="5">
        <f>J3-H3</f>
        <v>366</v>
      </c>
      <c r="M3" s="4">
        <f>K3-I3</f>
        <v>3660</v>
      </c>
      <c r="N3" s="2">
        <v>45817</v>
      </c>
      <c r="O3" s="2">
        <v>45830</v>
      </c>
    </row>
    <row r="4" spans="1:15" x14ac:dyDescent="0.2">
      <c r="A4" s="1" t="s">
        <v>30</v>
      </c>
      <c r="B4" s="1" t="s">
        <v>31</v>
      </c>
      <c r="C4" s="1" t="s">
        <v>29</v>
      </c>
      <c r="D4" s="1" t="s">
        <v>11</v>
      </c>
      <c r="E4" s="1" t="s">
        <v>20</v>
      </c>
      <c r="F4" s="1" t="s">
        <v>20</v>
      </c>
      <c r="G4" s="4">
        <v>10</v>
      </c>
      <c r="H4" s="10">
        <v>2240</v>
      </c>
      <c r="I4" s="4">
        <v>22400</v>
      </c>
      <c r="J4" s="8">
        <v>3710</v>
      </c>
      <c r="K4" s="3">
        <f>J4*G4</f>
        <v>37100</v>
      </c>
      <c r="L4" s="5">
        <f>J4-H4</f>
        <v>1470</v>
      </c>
      <c r="M4" s="4">
        <f>K4-I4</f>
        <v>14700</v>
      </c>
      <c r="N4" s="2">
        <v>45817</v>
      </c>
      <c r="O4" s="2">
        <v>45830</v>
      </c>
    </row>
    <row r="5" spans="1:15" x14ac:dyDescent="0.2">
      <c r="A5" s="1" t="s">
        <v>27</v>
      </c>
      <c r="B5" s="1" t="s">
        <v>28</v>
      </c>
      <c r="C5" s="1" t="s">
        <v>26</v>
      </c>
      <c r="D5" s="1" t="s">
        <v>11</v>
      </c>
      <c r="E5" s="1" t="s">
        <v>21</v>
      </c>
      <c r="F5" s="1" t="s">
        <v>21</v>
      </c>
      <c r="G5" s="4">
        <v>5</v>
      </c>
      <c r="H5" s="5">
        <v>221</v>
      </c>
      <c r="I5" s="4">
        <v>1105</v>
      </c>
      <c r="J5" s="8">
        <v>112</v>
      </c>
      <c r="K5" s="3">
        <f>J5*G5</f>
        <v>560</v>
      </c>
      <c r="L5" s="5">
        <f>J5-H5</f>
        <v>-109</v>
      </c>
      <c r="M5" s="4">
        <f>K5-I5</f>
        <v>-545</v>
      </c>
      <c r="N5" s="2">
        <v>45817</v>
      </c>
      <c r="O5" s="2">
        <v>45830</v>
      </c>
    </row>
    <row r="6" spans="1:15" x14ac:dyDescent="0.2">
      <c r="A6" s="1" t="s">
        <v>30</v>
      </c>
      <c r="B6" s="1" t="s">
        <v>31</v>
      </c>
      <c r="C6" s="1" t="s">
        <v>29</v>
      </c>
      <c r="D6" s="1" t="s">
        <v>11</v>
      </c>
      <c r="E6" s="1" t="s">
        <v>21</v>
      </c>
      <c r="F6" s="1" t="s">
        <v>21</v>
      </c>
      <c r="G6" s="4">
        <v>5</v>
      </c>
      <c r="H6" s="10">
        <v>560</v>
      </c>
      <c r="I6" s="4">
        <v>2800</v>
      </c>
      <c r="J6" s="8">
        <v>675</v>
      </c>
      <c r="K6" s="3">
        <f>J6*G6</f>
        <v>3375</v>
      </c>
      <c r="L6" s="5">
        <f>J6-H6</f>
        <v>115</v>
      </c>
      <c r="M6" s="4">
        <f>K6-I6</f>
        <v>575</v>
      </c>
      <c r="N6" s="2">
        <v>45817</v>
      </c>
      <c r="O6" s="2">
        <v>45830</v>
      </c>
    </row>
    <row r="7" spans="1:15" x14ac:dyDescent="0.2">
      <c r="A7" s="1" t="s">
        <v>27</v>
      </c>
      <c r="B7" s="1" t="s">
        <v>28</v>
      </c>
      <c r="C7" s="1" t="s">
        <v>26</v>
      </c>
      <c r="D7" s="1" t="s">
        <v>11</v>
      </c>
      <c r="E7" s="1" t="s">
        <v>22</v>
      </c>
      <c r="F7" s="1" t="s">
        <v>22</v>
      </c>
      <c r="G7" s="4">
        <v>20</v>
      </c>
      <c r="H7" s="5">
        <v>293</v>
      </c>
      <c r="I7" s="4">
        <v>5860</v>
      </c>
      <c r="J7" s="8">
        <v>1063</v>
      </c>
      <c r="K7" s="3">
        <f>J7*G7</f>
        <v>21260</v>
      </c>
      <c r="L7" s="5">
        <f>J7-H7</f>
        <v>770</v>
      </c>
      <c r="M7" s="4">
        <f>K7-I7</f>
        <v>15400</v>
      </c>
      <c r="N7" s="2">
        <v>45817</v>
      </c>
      <c r="O7" s="2">
        <v>45830</v>
      </c>
    </row>
    <row r="8" spans="1:15" x14ac:dyDescent="0.2">
      <c r="A8" s="1" t="s">
        <v>30</v>
      </c>
      <c r="B8" s="1" t="s">
        <v>31</v>
      </c>
      <c r="C8" s="1" t="s">
        <v>29</v>
      </c>
      <c r="D8" s="1" t="s">
        <v>11</v>
      </c>
      <c r="E8" s="1" t="s">
        <v>22</v>
      </c>
      <c r="F8" s="1" t="s">
        <v>22</v>
      </c>
      <c r="G8" s="4">
        <v>20</v>
      </c>
      <c r="H8" s="10">
        <v>1260</v>
      </c>
      <c r="I8" s="4">
        <v>25200</v>
      </c>
      <c r="J8" s="8">
        <v>484</v>
      </c>
      <c r="K8" s="3">
        <f>J8*G8</f>
        <v>9680</v>
      </c>
      <c r="L8" s="5">
        <f>J8-H8</f>
        <v>-776</v>
      </c>
      <c r="M8" s="4">
        <f>K8-I8</f>
        <v>-15520</v>
      </c>
      <c r="N8" s="2">
        <v>45817</v>
      </c>
      <c r="O8" s="2">
        <v>45830</v>
      </c>
    </row>
    <row r="9" spans="1:15" x14ac:dyDescent="0.2">
      <c r="A9" s="1" t="s">
        <v>27</v>
      </c>
      <c r="B9" s="1" t="s">
        <v>28</v>
      </c>
      <c r="C9" s="1" t="s">
        <v>26</v>
      </c>
      <c r="D9" s="1" t="s">
        <v>11</v>
      </c>
      <c r="E9" s="1" t="s">
        <v>23</v>
      </c>
      <c r="F9" s="1" t="s">
        <v>23</v>
      </c>
      <c r="G9" s="4">
        <v>10</v>
      </c>
      <c r="H9" s="5">
        <v>493</v>
      </c>
      <c r="I9" s="4">
        <v>4930</v>
      </c>
      <c r="J9" s="8">
        <v>240</v>
      </c>
      <c r="K9" s="3">
        <f>J9*G9</f>
        <v>2400</v>
      </c>
      <c r="L9" s="5">
        <f>J9-H9</f>
        <v>-253</v>
      </c>
      <c r="M9" s="4">
        <f>K9-I9</f>
        <v>-2530</v>
      </c>
      <c r="N9" s="2">
        <v>45817</v>
      </c>
      <c r="O9" s="2">
        <v>45830</v>
      </c>
    </row>
    <row r="10" spans="1:15" x14ac:dyDescent="0.2">
      <c r="A10" s="1" t="s">
        <v>30</v>
      </c>
      <c r="B10" s="1" t="s">
        <v>31</v>
      </c>
      <c r="C10" s="1" t="s">
        <v>29</v>
      </c>
      <c r="D10" s="1" t="s">
        <v>11</v>
      </c>
      <c r="E10" s="1" t="s">
        <v>23</v>
      </c>
      <c r="F10" s="1" t="s">
        <v>23</v>
      </c>
      <c r="G10" s="4">
        <v>10</v>
      </c>
      <c r="H10" s="10">
        <v>840</v>
      </c>
      <c r="I10" s="4">
        <v>8400</v>
      </c>
      <c r="J10" s="8">
        <v>442</v>
      </c>
      <c r="K10" s="3">
        <f>J10*G10</f>
        <v>4420</v>
      </c>
      <c r="L10" s="5">
        <f>J10-H10</f>
        <v>-398</v>
      </c>
      <c r="M10" s="4">
        <f>K10-I10</f>
        <v>-3980</v>
      </c>
      <c r="N10" s="2">
        <v>45817</v>
      </c>
      <c r="O10" s="2">
        <v>45830</v>
      </c>
    </row>
    <row r="11" spans="1:15" x14ac:dyDescent="0.2">
      <c r="A11" s="1" t="s">
        <v>27</v>
      </c>
      <c r="B11" s="1" t="s">
        <v>28</v>
      </c>
      <c r="C11" s="1" t="s">
        <v>26</v>
      </c>
      <c r="D11" s="1" t="s">
        <v>11</v>
      </c>
      <c r="E11" s="1" t="s">
        <v>24</v>
      </c>
      <c r="F11" s="1" t="s">
        <v>24</v>
      </c>
      <c r="G11" s="4">
        <v>10</v>
      </c>
      <c r="H11" s="5">
        <v>422</v>
      </c>
      <c r="I11" s="4">
        <v>4220</v>
      </c>
      <c r="J11" s="8">
        <v>277</v>
      </c>
      <c r="K11" s="3">
        <f>J11*G11</f>
        <v>2770</v>
      </c>
      <c r="L11" s="5">
        <f>J11-H11</f>
        <v>-145</v>
      </c>
      <c r="M11" s="4">
        <f>K11-I11</f>
        <v>-1450</v>
      </c>
      <c r="N11" s="2">
        <v>45817</v>
      </c>
      <c r="O11" s="2">
        <v>45830</v>
      </c>
    </row>
    <row r="12" spans="1:15" x14ac:dyDescent="0.2">
      <c r="A12" s="1" t="s">
        <v>30</v>
      </c>
      <c r="B12" s="1" t="s">
        <v>31</v>
      </c>
      <c r="C12" s="1" t="s">
        <v>29</v>
      </c>
      <c r="D12" s="1" t="s">
        <v>11</v>
      </c>
      <c r="E12" s="1" t="s">
        <v>24</v>
      </c>
      <c r="F12" s="1" t="s">
        <v>24</v>
      </c>
      <c r="G12" s="4">
        <v>10</v>
      </c>
      <c r="H12" s="10">
        <v>1400</v>
      </c>
      <c r="I12" s="4">
        <v>14000</v>
      </c>
      <c r="J12" s="8">
        <v>800</v>
      </c>
      <c r="K12" s="3">
        <f>J12*G12</f>
        <v>8000</v>
      </c>
      <c r="L12" s="5">
        <f>J12-H12</f>
        <v>-600</v>
      </c>
      <c r="M12" s="4">
        <f>K12-I12</f>
        <v>-6000</v>
      </c>
      <c r="N12" s="2">
        <v>45817</v>
      </c>
      <c r="O12" s="2">
        <v>45830</v>
      </c>
    </row>
    <row r="13" spans="1:15" x14ac:dyDescent="0.2">
      <c r="A13" s="1" t="s">
        <v>27</v>
      </c>
      <c r="B13" s="1" t="s">
        <v>28</v>
      </c>
      <c r="C13" s="1" t="s">
        <v>26</v>
      </c>
      <c r="D13" s="1" t="s">
        <v>11</v>
      </c>
      <c r="E13" s="1" t="s">
        <v>14</v>
      </c>
      <c r="F13" s="1" t="s">
        <v>14</v>
      </c>
      <c r="G13" s="4">
        <v>10</v>
      </c>
      <c r="H13" s="5">
        <v>38</v>
      </c>
      <c r="I13" s="4">
        <v>380</v>
      </c>
      <c r="J13" s="8"/>
      <c r="K13" s="3">
        <f>J13*G13</f>
        <v>0</v>
      </c>
      <c r="L13" s="5">
        <f>J13-H13</f>
        <v>-38</v>
      </c>
      <c r="M13" s="4">
        <f>K13-I13</f>
        <v>-380</v>
      </c>
      <c r="N13" s="2">
        <v>45817</v>
      </c>
      <c r="O13" s="2">
        <v>45830</v>
      </c>
    </row>
    <row r="14" spans="1:15" x14ac:dyDescent="0.2">
      <c r="A14" s="1" t="s">
        <v>30</v>
      </c>
      <c r="B14" s="1" t="s">
        <v>31</v>
      </c>
      <c r="C14" s="1" t="s">
        <v>29</v>
      </c>
      <c r="D14" s="1" t="s">
        <v>11</v>
      </c>
      <c r="E14" s="1" t="s">
        <v>14</v>
      </c>
      <c r="F14" s="1" t="s">
        <v>14</v>
      </c>
      <c r="G14" s="4">
        <v>10</v>
      </c>
      <c r="H14" s="10">
        <v>14</v>
      </c>
      <c r="I14" s="4">
        <v>140</v>
      </c>
      <c r="J14" s="8"/>
      <c r="K14" s="3">
        <f>J14*G14</f>
        <v>0</v>
      </c>
      <c r="L14" s="5">
        <f>J14-H14</f>
        <v>-14</v>
      </c>
      <c r="M14" s="4">
        <f>K14-I14</f>
        <v>-140</v>
      </c>
      <c r="N14" s="2">
        <v>45817</v>
      </c>
      <c r="O14" s="2">
        <v>45830</v>
      </c>
    </row>
    <row r="15" spans="1:15" x14ac:dyDescent="0.2">
      <c r="A15" s="1" t="s">
        <v>27</v>
      </c>
      <c r="B15" s="1" t="s">
        <v>28</v>
      </c>
      <c r="C15" s="1" t="s">
        <v>26</v>
      </c>
      <c r="D15" s="1" t="s">
        <v>11</v>
      </c>
      <c r="E15" s="1" t="s">
        <v>15</v>
      </c>
      <c r="F15" s="1" t="s">
        <v>15</v>
      </c>
      <c r="G15" s="4">
        <v>10</v>
      </c>
      <c r="H15" s="5">
        <v>125</v>
      </c>
      <c r="I15" s="4">
        <v>1250</v>
      </c>
      <c r="J15" s="8"/>
      <c r="K15" s="3">
        <f>J15*G15</f>
        <v>0</v>
      </c>
      <c r="L15" s="5">
        <f>J15-H15</f>
        <v>-125</v>
      </c>
      <c r="M15" s="4">
        <f>K15-I15</f>
        <v>-1250</v>
      </c>
      <c r="N15" s="2">
        <v>45817</v>
      </c>
      <c r="O15" s="2">
        <v>45830</v>
      </c>
    </row>
    <row r="16" spans="1:15" x14ac:dyDescent="0.2">
      <c r="A16" s="1" t="s">
        <v>30</v>
      </c>
      <c r="B16" s="1" t="s">
        <v>31</v>
      </c>
      <c r="C16" s="1" t="s">
        <v>29</v>
      </c>
      <c r="D16" s="1" t="s">
        <v>11</v>
      </c>
      <c r="E16" s="1" t="s">
        <v>15</v>
      </c>
      <c r="F16" s="1" t="s">
        <v>15</v>
      </c>
      <c r="G16" s="4">
        <v>10</v>
      </c>
      <c r="H16" s="10">
        <v>14</v>
      </c>
      <c r="I16" s="4">
        <v>140</v>
      </c>
      <c r="J16" s="8">
        <v>10</v>
      </c>
      <c r="K16" s="3">
        <f>J16*G16</f>
        <v>100</v>
      </c>
      <c r="L16" s="5">
        <f>J16-H16</f>
        <v>-4</v>
      </c>
      <c r="M16" s="4">
        <f>K16-I16</f>
        <v>-40</v>
      </c>
      <c r="N16" s="2">
        <v>45817</v>
      </c>
      <c r="O16" s="2">
        <v>45830</v>
      </c>
    </row>
    <row r="17" spans="1:15" x14ac:dyDescent="0.2">
      <c r="A17" s="1" t="s">
        <v>33</v>
      </c>
      <c r="B17" s="1" t="s">
        <v>34</v>
      </c>
      <c r="C17" s="1" t="s">
        <v>32</v>
      </c>
      <c r="D17" s="1" t="s">
        <v>11</v>
      </c>
      <c r="E17" s="1" t="s">
        <v>13</v>
      </c>
      <c r="F17" s="1" t="s">
        <v>13</v>
      </c>
      <c r="G17" s="4">
        <v>100</v>
      </c>
      <c r="H17" s="5">
        <v>616</v>
      </c>
      <c r="I17" s="4">
        <v>61600</v>
      </c>
      <c r="J17" s="8">
        <v>50</v>
      </c>
      <c r="K17" s="3">
        <f>J17*G17</f>
        <v>5000</v>
      </c>
      <c r="L17" s="5">
        <f>J17-H17</f>
        <v>-566</v>
      </c>
      <c r="M17" s="4">
        <f>K17-I17</f>
        <v>-56600</v>
      </c>
      <c r="N17" s="2">
        <v>45824</v>
      </c>
      <c r="O17" s="2">
        <v>45830</v>
      </c>
    </row>
    <row r="18" spans="1:15" x14ac:dyDescent="0.2">
      <c r="A18" s="1" t="s">
        <v>27</v>
      </c>
      <c r="B18" s="1" t="s">
        <v>28</v>
      </c>
      <c r="C18" s="1" t="s">
        <v>26</v>
      </c>
      <c r="D18" s="1" t="s">
        <v>11</v>
      </c>
      <c r="E18" s="1" t="s">
        <v>8</v>
      </c>
      <c r="F18" s="1" t="s">
        <v>8</v>
      </c>
      <c r="G18" s="4">
        <v>30</v>
      </c>
      <c r="H18" s="5">
        <v>203</v>
      </c>
      <c r="I18" s="4">
        <v>6090</v>
      </c>
      <c r="J18" s="8"/>
      <c r="K18" s="3">
        <f>J18*G18</f>
        <v>0</v>
      </c>
      <c r="L18" s="5">
        <f>J18-H18</f>
        <v>-203</v>
      </c>
      <c r="M18" s="4">
        <f>K18-I18</f>
        <v>-6090</v>
      </c>
      <c r="N18" s="2">
        <v>45817</v>
      </c>
      <c r="O18" s="2">
        <v>45830</v>
      </c>
    </row>
    <row r="19" spans="1:15" x14ac:dyDescent="0.2">
      <c r="A19" s="1" t="s">
        <v>30</v>
      </c>
      <c r="B19" s="1" t="s">
        <v>31</v>
      </c>
      <c r="C19" s="1" t="s">
        <v>29</v>
      </c>
      <c r="D19" s="1" t="s">
        <v>11</v>
      </c>
      <c r="E19" s="1" t="s">
        <v>8</v>
      </c>
      <c r="F19" s="1" t="s">
        <v>8</v>
      </c>
      <c r="G19" s="4">
        <v>30</v>
      </c>
      <c r="H19" s="10">
        <v>210</v>
      </c>
      <c r="I19" s="4">
        <v>6300</v>
      </c>
      <c r="J19" s="8">
        <v>60</v>
      </c>
      <c r="K19" s="3">
        <f>J19*G19</f>
        <v>1800</v>
      </c>
      <c r="L19" s="5">
        <f>J19-H19</f>
        <v>-150</v>
      </c>
      <c r="M19" s="4">
        <f>K19-I19</f>
        <v>-4500</v>
      </c>
      <c r="N19" s="2">
        <v>45817</v>
      </c>
      <c r="O19" s="2">
        <v>45830</v>
      </c>
    </row>
    <row r="20" spans="1:15" x14ac:dyDescent="0.2">
      <c r="A20" s="1" t="s">
        <v>27</v>
      </c>
      <c r="B20" s="1" t="s">
        <v>28</v>
      </c>
      <c r="C20" s="1" t="s">
        <v>26</v>
      </c>
      <c r="D20" s="1" t="s">
        <v>11</v>
      </c>
      <c r="E20" s="1" t="s">
        <v>9</v>
      </c>
      <c r="F20" s="1" t="s">
        <v>9</v>
      </c>
      <c r="G20" s="4">
        <v>30</v>
      </c>
      <c r="H20" s="5">
        <v>86</v>
      </c>
      <c r="I20" s="4">
        <v>2580</v>
      </c>
      <c r="J20" s="8"/>
      <c r="K20" s="3">
        <f>J20*G20</f>
        <v>0</v>
      </c>
      <c r="L20" s="5">
        <f>J20-H20</f>
        <v>-86</v>
      </c>
      <c r="M20" s="4">
        <f>K20-I20</f>
        <v>-2580</v>
      </c>
      <c r="N20" s="2">
        <v>45817</v>
      </c>
      <c r="O20" s="2">
        <v>45830</v>
      </c>
    </row>
    <row r="21" spans="1:15" x14ac:dyDescent="0.2">
      <c r="A21" s="1" t="s">
        <v>30</v>
      </c>
      <c r="B21" s="1" t="s">
        <v>31</v>
      </c>
      <c r="C21" s="1" t="s">
        <v>29</v>
      </c>
      <c r="D21" s="1" t="s">
        <v>11</v>
      </c>
      <c r="E21" s="1" t="s">
        <v>9</v>
      </c>
      <c r="F21" s="1" t="s">
        <v>9</v>
      </c>
      <c r="G21" s="4">
        <v>30</v>
      </c>
      <c r="H21" s="10">
        <v>84</v>
      </c>
      <c r="I21" s="4">
        <v>2520</v>
      </c>
      <c r="J21" s="8">
        <v>5</v>
      </c>
      <c r="K21" s="3">
        <f>J21*G21</f>
        <v>150</v>
      </c>
      <c r="L21" s="5">
        <f>J21-H21</f>
        <v>-79</v>
      </c>
      <c r="M21" s="4">
        <f>K21-I21</f>
        <v>-2370</v>
      </c>
      <c r="N21" s="2">
        <v>45817</v>
      </c>
      <c r="O21" s="2">
        <v>45830</v>
      </c>
    </row>
    <row r="22" spans="1:15" x14ac:dyDescent="0.2">
      <c r="A22" s="1" t="s">
        <v>27</v>
      </c>
      <c r="B22" s="1" t="s">
        <v>28</v>
      </c>
      <c r="C22" s="1" t="s">
        <v>26</v>
      </c>
      <c r="D22" s="1" t="s">
        <v>11</v>
      </c>
      <c r="E22" s="1" t="s">
        <v>25</v>
      </c>
      <c r="F22" s="1" t="s">
        <v>25</v>
      </c>
      <c r="G22" s="4">
        <v>30</v>
      </c>
      <c r="H22" s="5">
        <v>76</v>
      </c>
      <c r="I22" s="4">
        <v>2280</v>
      </c>
      <c r="J22" s="8">
        <v>324</v>
      </c>
      <c r="K22" s="3">
        <f>J22*G22</f>
        <v>9720</v>
      </c>
      <c r="L22" s="5">
        <f>J22-H22</f>
        <v>248</v>
      </c>
      <c r="M22" s="4">
        <f>K22-I22</f>
        <v>7440</v>
      </c>
      <c r="N22" s="2">
        <v>45817</v>
      </c>
      <c r="O22" s="2">
        <v>45830</v>
      </c>
    </row>
    <row r="23" spans="1:15" x14ac:dyDescent="0.2">
      <c r="A23" s="1" t="s">
        <v>30</v>
      </c>
      <c r="B23" s="1" t="s">
        <v>31</v>
      </c>
      <c r="C23" s="1" t="s">
        <v>29</v>
      </c>
      <c r="D23" s="1" t="s">
        <v>11</v>
      </c>
      <c r="E23" s="1" t="s">
        <v>25</v>
      </c>
      <c r="F23" s="1" t="s">
        <v>25</v>
      </c>
      <c r="G23" s="4">
        <v>30</v>
      </c>
      <c r="H23" s="10">
        <v>84</v>
      </c>
      <c r="I23" s="4">
        <v>2520</v>
      </c>
      <c r="J23" s="8">
        <v>32</v>
      </c>
      <c r="K23" s="3">
        <f>J23*G23</f>
        <v>960</v>
      </c>
      <c r="L23" s="5">
        <f>J23-H23</f>
        <v>-52</v>
      </c>
      <c r="M23" s="4">
        <f>K23-I23</f>
        <v>-1560</v>
      </c>
      <c r="N23" s="2">
        <v>45817</v>
      </c>
      <c r="O23" s="2">
        <v>45830</v>
      </c>
    </row>
    <row r="24" spans="1:15" x14ac:dyDescent="0.2">
      <c r="A24" s="1" t="s">
        <v>27</v>
      </c>
      <c r="B24" s="1" t="s">
        <v>28</v>
      </c>
      <c r="C24" s="1" t="s">
        <v>26</v>
      </c>
      <c r="D24" s="1" t="s">
        <v>11</v>
      </c>
      <c r="E24" s="1" t="s">
        <v>10</v>
      </c>
      <c r="F24" s="1" t="s">
        <v>10</v>
      </c>
      <c r="G24" s="4">
        <v>30</v>
      </c>
      <c r="H24" s="5">
        <v>336</v>
      </c>
      <c r="I24" s="4">
        <v>10080</v>
      </c>
      <c r="J24" s="8">
        <v>873</v>
      </c>
      <c r="K24" s="3">
        <f>J24*G24</f>
        <v>26190</v>
      </c>
      <c r="L24" s="5">
        <f>J24-H24</f>
        <v>537</v>
      </c>
      <c r="M24" s="4">
        <f>K24-I24</f>
        <v>16110</v>
      </c>
      <c r="N24" s="2">
        <v>45817</v>
      </c>
      <c r="O24" s="2">
        <v>45830</v>
      </c>
    </row>
    <row r="25" spans="1:15" x14ac:dyDescent="0.2">
      <c r="A25" s="1" t="s">
        <v>30</v>
      </c>
      <c r="B25" s="1" t="s">
        <v>31</v>
      </c>
      <c r="C25" s="1" t="s">
        <v>29</v>
      </c>
      <c r="D25" s="1" t="s">
        <v>11</v>
      </c>
      <c r="E25" s="1" t="s">
        <v>10</v>
      </c>
      <c r="F25" s="1" t="s">
        <v>10</v>
      </c>
      <c r="G25" s="4">
        <v>30</v>
      </c>
      <c r="H25" s="10">
        <v>280</v>
      </c>
      <c r="I25" s="4">
        <v>8400</v>
      </c>
      <c r="J25" s="8">
        <v>165</v>
      </c>
      <c r="K25" s="3">
        <f>J25*G25</f>
        <v>4950</v>
      </c>
      <c r="L25" s="5">
        <f>J25-H25</f>
        <v>-115</v>
      </c>
      <c r="M25" s="4">
        <f>K25-I25</f>
        <v>-3450</v>
      </c>
      <c r="N25" s="2">
        <v>45817</v>
      </c>
      <c r="O25" s="2">
        <v>45830</v>
      </c>
    </row>
    <row r="26" spans="1:15" x14ac:dyDescent="0.2">
      <c r="A26" s="1" t="s">
        <v>27</v>
      </c>
      <c r="B26" s="1" t="s">
        <v>28</v>
      </c>
      <c r="C26" s="1" t="s">
        <v>26</v>
      </c>
      <c r="D26" s="1" t="s">
        <v>11</v>
      </c>
      <c r="E26" s="1" t="s">
        <v>18</v>
      </c>
      <c r="F26" s="1" t="s">
        <v>19</v>
      </c>
      <c r="G26" s="4">
        <v>7</v>
      </c>
      <c r="H26" s="5">
        <v>87</v>
      </c>
      <c r="I26" s="4">
        <v>609</v>
      </c>
      <c r="J26" s="8"/>
      <c r="K26" s="3">
        <f>J26*G26</f>
        <v>0</v>
      </c>
      <c r="L26" s="5">
        <f>J26-H26</f>
        <v>-87</v>
      </c>
      <c r="M26" s="4">
        <f>K26-I26</f>
        <v>-609</v>
      </c>
      <c r="N26" s="2">
        <v>45817</v>
      </c>
      <c r="O26" s="2">
        <v>45830</v>
      </c>
    </row>
    <row r="27" spans="1:15" x14ac:dyDescent="0.2">
      <c r="A27" s="1" t="s">
        <v>30</v>
      </c>
      <c r="B27" s="1" t="s">
        <v>31</v>
      </c>
      <c r="C27" s="1" t="s">
        <v>29</v>
      </c>
      <c r="D27" s="1" t="s">
        <v>11</v>
      </c>
      <c r="E27" s="1" t="s">
        <v>18</v>
      </c>
      <c r="F27" s="1" t="s">
        <v>19</v>
      </c>
      <c r="G27" s="4">
        <v>7</v>
      </c>
      <c r="H27" s="10">
        <v>7</v>
      </c>
      <c r="I27" s="4">
        <v>49</v>
      </c>
      <c r="J27" s="8"/>
      <c r="K27" s="3">
        <f>J27*G27</f>
        <v>0</v>
      </c>
      <c r="L27" s="5">
        <f>J27-H27</f>
        <v>-7</v>
      </c>
      <c r="M27" s="4">
        <f>K27-I27</f>
        <v>-49</v>
      </c>
      <c r="N27" s="2">
        <v>45817</v>
      </c>
      <c r="O27" s="2">
        <v>45830</v>
      </c>
    </row>
    <row r="28" spans="1:15" x14ac:dyDescent="0.2">
      <c r="A28" s="1" t="s">
        <v>27</v>
      </c>
      <c r="B28" s="1" t="s">
        <v>28</v>
      </c>
      <c r="C28" s="1" t="s">
        <v>26</v>
      </c>
      <c r="D28" s="1" t="s">
        <v>11</v>
      </c>
      <c r="E28" s="1" t="s">
        <v>16</v>
      </c>
      <c r="F28" s="1" t="s">
        <v>17</v>
      </c>
      <c r="G28" s="4">
        <v>7</v>
      </c>
      <c r="H28" s="5">
        <v>87</v>
      </c>
      <c r="I28" s="4">
        <v>609</v>
      </c>
      <c r="J28" s="8"/>
      <c r="K28" s="3">
        <f>J28*G28</f>
        <v>0</v>
      </c>
      <c r="L28" s="5">
        <f>J28-H28</f>
        <v>-87</v>
      </c>
      <c r="M28" s="4">
        <f>K28-I28</f>
        <v>-609</v>
      </c>
      <c r="N28" s="2">
        <v>45817</v>
      </c>
      <c r="O28" s="2">
        <v>45830</v>
      </c>
    </row>
    <row r="29" spans="1:15" x14ac:dyDescent="0.2">
      <c r="A29" s="1" t="s">
        <v>30</v>
      </c>
      <c r="B29" s="1" t="s">
        <v>31</v>
      </c>
      <c r="C29" s="1" t="s">
        <v>29</v>
      </c>
      <c r="D29" s="1" t="s">
        <v>11</v>
      </c>
      <c r="E29" s="1" t="s">
        <v>16</v>
      </c>
      <c r="F29" s="1" t="s">
        <v>17</v>
      </c>
      <c r="G29" s="4">
        <v>7</v>
      </c>
      <c r="H29" s="10">
        <v>7</v>
      </c>
      <c r="I29" s="4">
        <v>49</v>
      </c>
      <c r="J29" s="8"/>
      <c r="K29" s="3">
        <f>J29*G29</f>
        <v>0</v>
      </c>
      <c r="L29" s="5">
        <f>J29-H29</f>
        <v>-7</v>
      </c>
      <c r="M29" s="4">
        <f>K29-I29</f>
        <v>-49</v>
      </c>
      <c r="N29" s="2">
        <v>45817</v>
      </c>
      <c r="O29" s="2">
        <v>45830</v>
      </c>
    </row>
  </sheetData>
  <autoFilter ref="A1:O29" xr:uid="{A12E7630-BE37-4A37-8CFF-ACC472610FC2}">
    <sortState xmlns:xlrd2="http://schemas.microsoft.com/office/spreadsheetml/2017/richdata2" ref="A2:O29">
      <sortCondition ref="F1:F29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2025-06-16T16:00:00Z</dcterms:created>
  <dcterms:modified xsi:type="dcterms:W3CDTF">2025-06-19T21:26:24Z</dcterms:modified>
  <cp:category/>
</cp:coreProperties>
</file>