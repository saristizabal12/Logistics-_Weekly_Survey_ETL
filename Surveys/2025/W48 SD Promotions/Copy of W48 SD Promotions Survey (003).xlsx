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elmobille-my.sharepoint.com/personal/cgonzalez_vitelmobile_com/Documents/"/>
    </mc:Choice>
  </mc:AlternateContent>
  <xr:revisionPtr revIDLastSave="0" documentId="8_{B63E6D13-4FBA-4C07-9345-E5ED01EE73E5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urvey" sheetId="1" r:id="rId1"/>
  </sheets>
  <definedNames>
    <definedName name="_xlnm._FilterDatabase" localSheetId="0" hidden="1">Survey!$A$1:$O$9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<sst xmlns="http://schemas.openxmlformats.org/spreadsheetml/2006/main" count="63" uniqueCount="36">
  <si>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</si>
  <si>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</si>
  <si>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</si>
  <si>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</si>
  <si>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</si>
  <si>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</si>
  <si>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</si>
  <si>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</si>
  <si>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G-WATCH8</t>
  </si>
  <si>
    <t>G-WATCH8-CLASSIC</t>
  </si>
  <si>
    <t>VITEL MOBILE, INC.</t>
  </si>
  <si>
    <t>G-S25-ULTRA</t>
  </si>
  <si>
    <t>G-Z-FLIP7</t>
  </si>
  <si>
    <t>G-Z-FLIP7-FE</t>
  </si>
  <si>
    <t>G-Z-FOLD7</t>
  </si>
  <si>
    <t>A2S3A0A250000409</t>
  </si>
  <si>
    <t>A0S3A0A250001094</t>
  </si>
  <si>
    <t>Vitel W46-W48 Foldables Series Sustain ST Promo</t>
  </si>
  <si>
    <t>A2S3A0A250000420</t>
  </si>
  <si>
    <t>A0S3A0A250001130</t>
  </si>
  <si>
    <t>VITEL W46-W48 Watch8 Sustain ST Promo</t>
  </si>
  <si>
    <t>A0S3A0A250001137</t>
  </si>
  <si>
    <t>W46-W48 ENET Buds Series ST Promo</t>
  </si>
  <si>
    <t>A2S3A0A250000421</t>
  </si>
  <si>
    <t>G-BUDS-CORE</t>
  </si>
  <si>
    <t>G-BUDS3-FE</t>
  </si>
  <si>
    <t>A2S3A0A250000435</t>
  </si>
  <si>
    <t>A0S3A0A250001160</t>
  </si>
  <si>
    <t>VITEL W47-W48 S25 Ultra OM ST Promo</t>
  </si>
  <si>
    <t>Incentive</t>
  </si>
  <si>
    <t>AS-IS Qty</t>
  </si>
  <si>
    <t>AS-IS Amt($)</t>
  </si>
  <si>
    <t>TO-BE Qty</t>
  </si>
  <si>
    <t>TO-BE Amt($)</t>
  </si>
  <si>
    <t>DELTA Qty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</si>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</sst>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6" fontId="0" fillId="3" borderId="1" xfId="0" applyNumberFormat="1" applyFill="1" applyBorder="1"/>
    <xf numFmtId="6" fontId="0" fillId="4" borderId="1" xfId="0" applyNumberFormat="1" applyFill="1" applyBorder="1"/>
    <xf numFmtId="3" fontId="0" fillId="4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showGridLines="0" tabSelected="1" workbookViewId="0">
      <pane ySplit="1" topLeftCell="A2" activePane="bottomLeft" state="frozen"/>
      <selection pane="bottomLeft" activeCell="J10" sqref="J10"/>
    </sheetView>
  </sheetViews>
  <sheetFormatPr defaultRowHeight="13" x14ac:dyDescent="0.3"/>
  <cols>
    <col min="1" max="1" width="22.3984375" bestFit="1" customWidth="1"/>
    <col min="2" max="2" width="44.59765625" bestFit="1" customWidth="1"/>
    <col min="3" max="3" width="28" bestFit="1" customWidth="1"/>
    <col min="4" max="4" width="32.69921875" bestFit="1" customWidth="1"/>
    <col min="5" max="6" width="16.09765625" bestFit="1" customWidth="1"/>
    <col min="7" max="13" width="14.296875" customWidth="1"/>
    <col min="14" max="14" width="21.59765625" bestFit="1" customWidth="1"/>
    <col min="15" max="15" width="20.59765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6</v>
      </c>
      <c r="O1" s="1" t="s">
        <v>7</v>
      </c>
    </row>
    <row r="2" spans="1:15" x14ac:dyDescent="0.3">
      <c r="A2" s="2" t="s">
        <v>16</v>
      </c>
      <c r="B2" s="2" t="s">
        <v>17</v>
      </c>
      <c r="C2" s="2" t="s">
        <v>15</v>
      </c>
      <c r="D2" s="2" t="s">
        <v>10</v>
      </c>
      <c r="E2" s="2" t="s">
        <v>12</v>
      </c>
      <c r="F2" s="2" t="s">
        <v>12</v>
      </c>
      <c r="G2" s="5">
        <v>80</v>
      </c>
      <c r="H2" s="6">
        <v>79</v>
      </c>
      <c r="I2" s="5">
        <v>6320</v>
      </c>
      <c r="J2" s="7">
        <v>34</v>
      </c>
      <c r="K2" s="4">
        <f t="shared" ref="K2:K8" si="0">J2*G2</f>
        <v>2720</v>
      </c>
      <c r="L2" s="6">
        <f t="shared" ref="L2:L8" si="1">J2-H2</f>
        <v>-45</v>
      </c>
      <c r="M2" s="5">
        <f t="shared" ref="M2:M8" si="2">K2-I2</f>
        <v>-3600</v>
      </c>
      <c r="N2" s="3">
        <v>45971</v>
      </c>
      <c r="O2" s="3">
        <v>45991</v>
      </c>
    </row>
    <row r="3" spans="1:15" x14ac:dyDescent="0.3">
      <c r="A3" s="2" t="s">
        <v>16</v>
      </c>
      <c r="B3" s="2" t="s">
        <v>17</v>
      </c>
      <c r="C3" s="2" t="s">
        <v>15</v>
      </c>
      <c r="D3" s="2" t="s">
        <v>10</v>
      </c>
      <c r="E3" s="2" t="s">
        <v>13</v>
      </c>
      <c r="F3" s="2" t="s">
        <v>13</v>
      </c>
      <c r="G3" s="5">
        <v>120</v>
      </c>
      <c r="H3" s="6">
        <v>343</v>
      </c>
      <c r="I3" s="5">
        <v>41160</v>
      </c>
      <c r="J3" s="7">
        <v>60</v>
      </c>
      <c r="K3" s="4">
        <f t="shared" si="0"/>
        <v>7200</v>
      </c>
      <c r="L3" s="6">
        <f t="shared" si="1"/>
        <v>-283</v>
      </c>
      <c r="M3" s="5">
        <f t="shared" si="2"/>
        <v>-33960</v>
      </c>
      <c r="N3" s="3">
        <v>45971</v>
      </c>
      <c r="O3" s="3">
        <v>45991</v>
      </c>
    </row>
    <row r="4" spans="1:15" x14ac:dyDescent="0.3">
      <c r="A4" s="2" t="s">
        <v>16</v>
      </c>
      <c r="B4" s="2" t="s">
        <v>17</v>
      </c>
      <c r="C4" s="2" t="s">
        <v>15</v>
      </c>
      <c r="D4" s="2" t="s">
        <v>10</v>
      </c>
      <c r="E4" s="2" t="s">
        <v>14</v>
      </c>
      <c r="F4" s="2" t="s">
        <v>14</v>
      </c>
      <c r="G4" s="5">
        <v>100</v>
      </c>
      <c r="H4" s="6">
        <v>51</v>
      </c>
      <c r="I4" s="5">
        <v>5100</v>
      </c>
      <c r="J4" s="7">
        <v>0</v>
      </c>
      <c r="K4" s="4">
        <f t="shared" si="0"/>
        <v>0</v>
      </c>
      <c r="L4" s="6">
        <f t="shared" si="1"/>
        <v>-51</v>
      </c>
      <c r="M4" s="5">
        <f t="shared" si="2"/>
        <v>-5100</v>
      </c>
      <c r="N4" s="3">
        <v>45971</v>
      </c>
      <c r="O4" s="3">
        <v>45991</v>
      </c>
    </row>
    <row r="5" spans="1:15" x14ac:dyDescent="0.3">
      <c r="A5" s="2" t="s">
        <v>19</v>
      </c>
      <c r="B5" s="2" t="s">
        <v>20</v>
      </c>
      <c r="C5" s="2" t="s">
        <v>18</v>
      </c>
      <c r="D5" s="2" t="s">
        <v>10</v>
      </c>
      <c r="E5" s="2" t="s">
        <v>8</v>
      </c>
      <c r="F5" s="2" t="s">
        <v>8</v>
      </c>
      <c r="G5" s="5">
        <v>43</v>
      </c>
      <c r="H5" s="6">
        <v>1262</v>
      </c>
      <c r="I5" s="5">
        <v>54266</v>
      </c>
      <c r="J5" s="7">
        <v>551</v>
      </c>
      <c r="K5" s="4">
        <f t="shared" si="0"/>
        <v>23693</v>
      </c>
      <c r="L5" s="6">
        <f t="shared" si="1"/>
        <v>-711</v>
      </c>
      <c r="M5" s="5">
        <f t="shared" si="2"/>
        <v>-30573</v>
      </c>
      <c r="N5" s="3">
        <v>45971</v>
      </c>
      <c r="O5" s="3">
        <v>45991</v>
      </c>
    </row>
    <row r="6" spans="1:15" x14ac:dyDescent="0.3">
      <c r="A6" s="2" t="s">
        <v>19</v>
      </c>
      <c r="B6" s="2" t="s">
        <v>20</v>
      </c>
      <c r="C6" s="2" t="s">
        <v>18</v>
      </c>
      <c r="D6" s="2" t="s">
        <v>10</v>
      </c>
      <c r="E6" s="2" t="s">
        <v>9</v>
      </c>
      <c r="F6" s="2" t="s">
        <v>9</v>
      </c>
      <c r="G6" s="5">
        <v>77</v>
      </c>
      <c r="H6" s="6">
        <v>387</v>
      </c>
      <c r="I6" s="5">
        <v>29799</v>
      </c>
      <c r="J6" s="7">
        <v>325</v>
      </c>
      <c r="K6" s="4">
        <f t="shared" si="0"/>
        <v>25025</v>
      </c>
      <c r="L6" s="6">
        <f t="shared" si="1"/>
        <v>-62</v>
      </c>
      <c r="M6" s="5">
        <f t="shared" si="2"/>
        <v>-4774</v>
      </c>
      <c r="N6" s="3">
        <v>45971</v>
      </c>
      <c r="O6" s="3">
        <v>45991</v>
      </c>
    </row>
    <row r="7" spans="1:15" x14ac:dyDescent="0.3">
      <c r="A7" s="2" t="s">
        <v>21</v>
      </c>
      <c r="B7" s="2" t="s">
        <v>22</v>
      </c>
      <c r="C7" s="2" t="s">
        <v>23</v>
      </c>
      <c r="D7" s="2" t="s">
        <v>10</v>
      </c>
      <c r="E7" s="2" t="s">
        <v>24</v>
      </c>
      <c r="F7" s="2" t="s">
        <v>24</v>
      </c>
      <c r="G7" s="5">
        <v>34</v>
      </c>
      <c r="H7" s="6">
        <v>357</v>
      </c>
      <c r="I7" s="5">
        <v>12138</v>
      </c>
      <c r="J7" s="7">
        <v>357</v>
      </c>
      <c r="K7" s="4">
        <f t="shared" si="0"/>
        <v>12138</v>
      </c>
      <c r="L7" s="6">
        <f t="shared" si="1"/>
        <v>0</v>
      </c>
      <c r="M7" s="5">
        <f t="shared" si="2"/>
        <v>0</v>
      </c>
      <c r="N7" s="3">
        <v>45971</v>
      </c>
      <c r="O7" s="3">
        <v>45991</v>
      </c>
    </row>
    <row r="8" spans="1:15" x14ac:dyDescent="0.3">
      <c r="A8" s="2" t="s">
        <v>21</v>
      </c>
      <c r="B8" s="2" t="s">
        <v>22</v>
      </c>
      <c r="C8" s="2" t="s">
        <v>23</v>
      </c>
      <c r="D8" s="2" t="s">
        <v>10</v>
      </c>
      <c r="E8" s="2" t="s">
        <v>25</v>
      </c>
      <c r="F8" s="2" t="s">
        <v>25</v>
      </c>
      <c r="G8" s="5">
        <v>92</v>
      </c>
      <c r="H8" s="6">
        <v>298</v>
      </c>
      <c r="I8" s="5">
        <v>27416</v>
      </c>
      <c r="J8" s="7">
        <v>298</v>
      </c>
      <c r="K8" s="4">
        <f t="shared" si="0"/>
        <v>27416</v>
      </c>
      <c r="L8" s="6">
        <f t="shared" si="1"/>
        <v>0</v>
      </c>
      <c r="M8" s="5">
        <f t="shared" si="2"/>
        <v>0</v>
      </c>
      <c r="N8" s="3">
        <v>45971</v>
      </c>
      <c r="O8" s="3">
        <v>45991</v>
      </c>
    </row>
    <row r="9" spans="1:15" x14ac:dyDescent="0.3">
      <c r="A9" s="2" t="s">
        <v>27</v>
      </c>
      <c r="B9" s="2" t="s">
        <v>28</v>
      </c>
      <c r="C9" s="2" t="s">
        <v>26</v>
      </c>
      <c r="D9" s="2" t="s">
        <v>10</v>
      </c>
      <c r="E9" s="2" t="s">
        <v>11</v>
      </c>
      <c r="F9" s="2" t="s">
        <v>11</v>
      </c>
      <c r="G9" s="5">
        <v>50</v>
      </c>
      <c r="H9" s="6">
        <v>2601</v>
      </c>
      <c r="I9" s="5">
        <v>130050</v>
      </c>
      <c r="J9" s="7">
        <v>2601</v>
      </c>
      <c r="K9" s="4">
        <f t="shared" ref="K9" si="3">J9*G9</f>
        <v>130050</v>
      </c>
      <c r="L9" s="6">
        <f t="shared" ref="L9" si="4">J9-H9</f>
        <v>0</v>
      </c>
      <c r="M9" s="5">
        <f t="shared" ref="M9" si="5">K9-I9</f>
        <v>0</v>
      </c>
      <c r="N9" s="3">
        <v>45978</v>
      </c>
      <c r="O9" s="3">
        <v>45991</v>
      </c>
    </row>
  </sheetData>
  <autoFilter ref="A1:O9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Christina Gonzalez</cp:lastModifiedBy>
  <cp:revision>1</cp:revision>
  <dcterms:created xsi:type="dcterms:W3CDTF">2025-11-24T15:01:01Z</dcterms:created>
  <dcterms:modified xsi:type="dcterms:W3CDTF">2025-11-25T16:58:40Z</dcterms:modified>
  <cp:category/>
</cp:coreProperties>
</file>