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33 SD Promotions\Sales Team\"/>
    </mc:Choice>
  </mc:AlternateContent>
  <xr:revisionPtr revIDLastSave="0" documentId="13_ncr:1_{839F19AB-637D-4AD6-814B-76B1D921C432}" xr6:coauthVersionLast="47" xr6:coauthVersionMax="47" xr10:uidLastSave="{00000000-0000-0000-0000-000000000000}"/>
  <bookViews>
    <workbookView xWindow="-19320" yWindow="-120" windowWidth="19440" windowHeight="10320" xr2:uid="{00000000-000D-0000-FFFF-FFFF00000000}"/>
  </bookViews>
  <sheets>
    <sheet name="AS of today" sheetId="9" r:id="rId1"/>
    <sheet name="Additional Sales" sheetId="10" r:id="rId2"/>
  </sheets>
  <definedNames>
    <definedName name="_xlnm._FilterDatabase" localSheetId="0" hidden="1">'AS of today'!$A$1:$T$13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0" l="1"/>
  <c r="L12" i="10"/>
  <c r="L11" i="10"/>
  <c r="L10" i="10"/>
  <c r="L9" i="10"/>
  <c r="L8" i="10"/>
  <c r="L7" i="10"/>
  <c r="L6" i="10"/>
  <c r="L5" i="10"/>
  <c r="L4" i="10"/>
  <c r="L3" i="10"/>
  <c r="L2" i="10"/>
  <c r="G13" i="10"/>
  <c r="G12" i="10"/>
  <c r="G11" i="10"/>
  <c r="G10" i="10"/>
  <c r="G9" i="10"/>
  <c r="G8" i="10"/>
  <c r="G7" i="10"/>
  <c r="G6" i="10"/>
  <c r="G5" i="10"/>
  <c r="G4" i="10"/>
  <c r="G3" i="10"/>
  <c r="G2" i="10"/>
  <c r="G13" i="9"/>
  <c r="G12" i="9"/>
  <c r="G11" i="9"/>
  <c r="G10" i="9"/>
  <c r="G9" i="9"/>
  <c r="G8" i="9"/>
  <c r="G7" i="9"/>
  <c r="G6" i="9"/>
  <c r="G5" i="9"/>
  <c r="G4" i="9"/>
  <c r="G3" i="9"/>
  <c r="G2" i="9"/>
  <c r="Q2" i="9" s="1"/>
  <c r="Q3" i="9" l="1"/>
  <c r="J13" i="9"/>
  <c r="K13" i="9" s="1"/>
  <c r="J12" i="9"/>
  <c r="K12" i="9" s="1"/>
  <c r="J11" i="9"/>
  <c r="K11" i="9" s="1"/>
  <c r="J10" i="9"/>
  <c r="K10" i="9" s="1"/>
  <c r="J9" i="9"/>
  <c r="K9" i="9" s="1"/>
  <c r="J8" i="9"/>
  <c r="K8" i="9" s="1"/>
  <c r="J7" i="9"/>
  <c r="K7" i="9" s="1"/>
  <c r="J6" i="9"/>
  <c r="K6" i="9" s="1"/>
  <c r="J5" i="9"/>
  <c r="K5" i="9" s="1"/>
  <c r="J4" i="9"/>
  <c r="K4" i="9" s="1"/>
  <c r="J3" i="9"/>
  <c r="K3" i="9" s="1"/>
  <c r="J2" i="9"/>
  <c r="K2" i="9" s="1"/>
  <c r="L9" i="9" l="1"/>
  <c r="M9" i="9" s="1"/>
  <c r="N9" i="9" s="1"/>
  <c r="L6" i="9"/>
  <c r="M6" i="9" s="1"/>
  <c r="N6" i="9" s="1"/>
  <c r="L7" i="9"/>
  <c r="M7" i="9" s="1"/>
  <c r="N7" i="9" s="1"/>
  <c r="L8" i="9"/>
  <c r="M8" i="9" s="1"/>
  <c r="N8" i="9" s="1"/>
  <c r="L5" i="9"/>
  <c r="L11" i="9"/>
  <c r="M11" i="9" s="1"/>
  <c r="N11" i="9" s="1"/>
  <c r="L12" i="9"/>
  <c r="M12" i="9" s="1"/>
  <c r="N12" i="9" s="1"/>
  <c r="L13" i="9"/>
  <c r="M13" i="9" s="1"/>
  <c r="N13" i="9" s="1"/>
  <c r="L2" i="9"/>
  <c r="L10" i="9"/>
  <c r="M10" i="9" s="1"/>
  <c r="N10" i="9" s="1"/>
  <c r="L3" i="9"/>
  <c r="L4" i="9"/>
  <c r="R2" i="9" l="1"/>
  <c r="S2" i="9" s="1"/>
  <c r="M5" i="9"/>
  <c r="N5" i="9" s="1"/>
  <c r="R3" i="9"/>
  <c r="T2" i="9" s="1"/>
  <c r="M2" i="9"/>
  <c r="M3" i="9"/>
  <c r="N3" i="9" s="1"/>
  <c r="M4" i="9"/>
  <c r="N4" i="9" s="1"/>
  <c r="N2" i="9" l="1"/>
</calcChain>
</file>

<file path=xl/sharedStrings.xml><?xml version="1.0" encoding="utf-8"?>
<sst xmlns="http://schemas.openxmlformats.org/spreadsheetml/2006/main" count="125" uniqueCount="37">
  <si>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</si>
  <si>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</si>
  <si>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</si>
  <si>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</si>
  <si>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</si>
  <si>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</si>
  <si>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</si>
  <si>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</si>
  <si>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</si>
  <si>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</si>
  <si>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</si>
  <si>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G-A06</t>
  </si>
  <si>
    <t>G-A16</t>
  </si>
  <si>
    <t>G-A16-5G</t>
  </si>
  <si>
    <t>G-A36-5G</t>
  </si>
  <si>
    <t>G-A56-5G</t>
  </si>
  <si>
    <t>G-S24-ULTRA</t>
  </si>
  <si>
    <t>G-S25</t>
  </si>
  <si>
    <t>G-S25+</t>
  </si>
  <si>
    <t>G-S25-ULTRA</t>
  </si>
  <si>
    <t>Amount difference</t>
  </si>
  <si>
    <t>FINAL</t>
  </si>
  <si>
    <t>G-Z-FLIP7</t>
  </si>
  <si>
    <t>G-Z-FLIP7-FE</t>
  </si>
  <si>
    <t>G-Z-FOLD7</t>
  </si>
  <si>
    <t>0783</t>
  </si>
  <si>
    <t>0835</t>
  </si>
  <si>
    <t>VITEL W31-W33 Foldables Series Launching ST Promo</t>
  </si>
  <si>
    <t>VITEL W32-W33 VE Sell-Thru Promotion</t>
  </si>
  <si>
    <t>A0S3A0A250000783</t>
  </si>
  <si>
    <t>A0S3A0A250000835</t>
  </si>
  <si>
    <t>Joseph</t>
  </si>
  <si>
    <t>Ricardo</t>
  </si>
  <si>
    <t>Alan</t>
  </si>
  <si>
    <t>Wil</t>
  </si>
  <si>
    <t>Sum of additional orders</t>
  </si>
  <si>
    <t>198 before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</si>
</sst>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8" fontId="0" fillId="4" borderId="1" xfId="0" applyNumberFormat="1" applyFill="1" applyBorder="1"/>
    <xf numFmtId="0" fontId="0" fillId="3" borderId="1" xfId="0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3" borderId="1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0" fontId="0" fillId="5" borderId="0" xfId="0" quotePrefix="1" applyFill="1"/>
    <xf numFmtId="8" fontId="0" fillId="5" borderId="0" xfId="0" applyNumberFormat="1" applyFill="1"/>
    <xf numFmtId="3" fontId="0" fillId="4" borderId="1" xfId="0" applyNumberFormat="1" applyFill="1" applyBorder="1"/>
    <xf numFmtId="1" fontId="1" fillId="3" borderId="1" xfId="0" applyNumberFormat="1" applyFont="1" applyFill="1" applyBorder="1"/>
  </cellXfs>
  <cellStyles count="2">
    <cellStyle name="Currency" xfId="1" builtinId="4"/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51FE4-31E3-484D-A9C8-A3E80A7ABAED}">
  <dimension ref="A1:T13"/>
  <sheetViews>
    <sheetView showGridLines="0" tabSelected="1" topLeftCell="C1" zoomScale="115" zoomScaleNormal="115" workbookViewId="0">
      <pane ySplit="1" topLeftCell="A2" activePane="bottomLeft" state="frozen"/>
      <selection pane="bottomLeft" activeCell="M12" sqref="M12"/>
    </sheetView>
  </sheetViews>
  <sheetFormatPr defaultRowHeight="12.75" x14ac:dyDescent="0.2"/>
  <cols>
    <col min="1" max="1" width="20.140625" bestFit="1" customWidth="1"/>
    <col min="2" max="2" width="44" bestFit="1" customWidth="1"/>
    <col min="3" max="3" width="11.140625" bestFit="1" customWidth="1"/>
    <col min="4" max="4" width="27.5703125" bestFit="1" customWidth="1"/>
    <col min="5" max="5" width="8.140625" bestFit="1" customWidth="1"/>
    <col min="6" max="6" width="8.140625" style="11" bestFit="1" customWidth="1"/>
    <col min="7" max="7" width="11.7109375" bestFit="1" customWidth="1"/>
    <col min="8" max="8" width="7.42578125" style="11" bestFit="1" customWidth="1"/>
    <col min="9" max="9" width="7.5703125" bestFit="1" customWidth="1"/>
    <col min="10" max="10" width="4.85546875" bestFit="1" customWidth="1"/>
    <col min="11" max="11" width="9.140625" customWidth="1"/>
    <col min="12" max="12" width="11.7109375" bestFit="1" customWidth="1"/>
    <col min="13" max="13" width="16" bestFit="1" customWidth="1"/>
    <col min="14" max="14" width="11.42578125" style="9" bestFit="1" customWidth="1"/>
    <col min="17" max="17" width="11.42578125" bestFit="1" customWidth="1"/>
    <col min="18" max="18" width="11" bestFit="1" customWidth="1"/>
    <col min="19" max="20" width="11.42578125" bestFit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0" t="s">
        <v>5</v>
      </c>
      <c r="G1" s="1" t="s">
        <v>6</v>
      </c>
      <c r="H1" s="10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20</v>
      </c>
      <c r="N1" s="7" t="s">
        <v>21</v>
      </c>
      <c r="S1" s="14" t="s">
        <v>25</v>
      </c>
      <c r="T1" s="15" t="s">
        <v>26</v>
      </c>
    </row>
    <row r="2" spans="1:20" x14ac:dyDescent="0.2">
      <c r="A2" s="2" t="s">
        <v>29</v>
      </c>
      <c r="B2" s="2" t="s">
        <v>27</v>
      </c>
      <c r="C2" s="2" t="s">
        <v>22</v>
      </c>
      <c r="D2" s="2" t="s">
        <v>22</v>
      </c>
      <c r="E2" s="3">
        <v>80</v>
      </c>
      <c r="F2" s="17">
        <v>460</v>
      </c>
      <c r="G2" s="3">
        <f>E2*F2</f>
        <v>36800</v>
      </c>
      <c r="H2" s="5">
        <v>94</v>
      </c>
      <c r="I2" s="4">
        <v>50</v>
      </c>
      <c r="J2" s="5">
        <f>H2+I2</f>
        <v>144</v>
      </c>
      <c r="K2" s="5">
        <f t="shared" ref="K2:K13" si="0">F2-J2</f>
        <v>316</v>
      </c>
      <c r="L2" s="6">
        <f>J2*E2</f>
        <v>11520</v>
      </c>
      <c r="M2" s="6">
        <f>G2-L2</f>
        <v>25280</v>
      </c>
      <c r="N2" s="8" t="str">
        <f>IF(M2&gt;0,"KEEP SELLING", "DO NOT SELL")</f>
        <v>KEEP SELLING</v>
      </c>
      <c r="O2">
        <v>30</v>
      </c>
      <c r="Q2" s="13">
        <f>SUM(G2:G4)</f>
        <v>128350</v>
      </c>
      <c r="R2" s="12">
        <f>SUM(L2:L4)</f>
        <v>31120</v>
      </c>
      <c r="S2" s="16">
        <f>Q2-R2</f>
        <v>97230</v>
      </c>
      <c r="T2" s="16">
        <f>Q3-R3</f>
        <v>112625</v>
      </c>
    </row>
    <row r="3" spans="1:20" x14ac:dyDescent="0.2">
      <c r="A3" s="2" t="s">
        <v>29</v>
      </c>
      <c r="B3" s="2" t="s">
        <v>27</v>
      </c>
      <c r="C3" s="2" t="s">
        <v>23</v>
      </c>
      <c r="D3" s="2" t="s">
        <v>23</v>
      </c>
      <c r="E3" s="3">
        <v>50</v>
      </c>
      <c r="F3" s="17">
        <v>439</v>
      </c>
      <c r="G3" s="3">
        <f t="shared" ref="G3:G13" si="1">E3*F3</f>
        <v>21950</v>
      </c>
      <c r="H3" s="5">
        <v>28</v>
      </c>
      <c r="I3" s="4">
        <v>60</v>
      </c>
      <c r="J3" s="5">
        <f t="shared" ref="J3:J13" si="2">H3+I3</f>
        <v>88</v>
      </c>
      <c r="K3" s="5">
        <f t="shared" si="0"/>
        <v>351</v>
      </c>
      <c r="L3" s="6">
        <f t="shared" ref="L3:L13" si="3">J3*E3</f>
        <v>4400</v>
      </c>
      <c r="M3" s="6">
        <f t="shared" ref="M3:M13" si="4">G3-L3</f>
        <v>17550</v>
      </c>
      <c r="N3" s="8" t="str">
        <f t="shared" ref="N3:N13" si="5">IF(M3&gt;0,"KEEP SELLING", "DO NOT SELL")</f>
        <v>KEEP SELLING</v>
      </c>
      <c r="O3">
        <v>20</v>
      </c>
      <c r="Q3" s="13">
        <f>SUM(G5:G13)</f>
        <v>140205</v>
      </c>
      <c r="R3" s="12">
        <f>SUM(L5:L13)</f>
        <v>27580</v>
      </c>
    </row>
    <row r="4" spans="1:20" x14ac:dyDescent="0.2">
      <c r="A4" s="2" t="s">
        <v>29</v>
      </c>
      <c r="B4" s="2" t="s">
        <v>27</v>
      </c>
      <c r="C4" s="2" t="s">
        <v>24</v>
      </c>
      <c r="D4" s="2" t="s">
        <v>24</v>
      </c>
      <c r="E4" s="3">
        <v>100</v>
      </c>
      <c r="F4" s="17">
        <v>696</v>
      </c>
      <c r="G4" s="3">
        <f t="shared" si="1"/>
        <v>69600</v>
      </c>
      <c r="H4" s="5">
        <v>122</v>
      </c>
      <c r="I4" s="4">
        <v>30</v>
      </c>
      <c r="J4" s="5">
        <f t="shared" si="2"/>
        <v>152</v>
      </c>
      <c r="K4" s="5">
        <f t="shared" si="0"/>
        <v>544</v>
      </c>
      <c r="L4" s="6">
        <f t="shared" si="3"/>
        <v>15200</v>
      </c>
      <c r="M4" s="6">
        <f t="shared" si="4"/>
        <v>54400</v>
      </c>
      <c r="N4" s="8" t="str">
        <f t="shared" si="5"/>
        <v>KEEP SELLING</v>
      </c>
      <c r="O4">
        <v>30</v>
      </c>
      <c r="Q4" s="13"/>
      <c r="R4" s="12"/>
    </row>
    <row r="5" spans="1:20" x14ac:dyDescent="0.2">
      <c r="A5" s="2" t="s">
        <v>30</v>
      </c>
      <c r="B5" s="2" t="s">
        <v>28</v>
      </c>
      <c r="C5" s="2" t="s">
        <v>11</v>
      </c>
      <c r="D5" s="2" t="s">
        <v>11</v>
      </c>
      <c r="E5" s="3">
        <v>10</v>
      </c>
      <c r="F5" s="17">
        <v>554</v>
      </c>
      <c r="G5" s="3">
        <f t="shared" si="1"/>
        <v>5540</v>
      </c>
      <c r="H5" s="5">
        <v>380</v>
      </c>
      <c r="I5" s="4"/>
      <c r="J5" s="5">
        <f t="shared" si="2"/>
        <v>380</v>
      </c>
      <c r="K5" s="5">
        <f t="shared" si="0"/>
        <v>174</v>
      </c>
      <c r="L5" s="6">
        <f t="shared" si="3"/>
        <v>3800</v>
      </c>
      <c r="M5" s="6">
        <f t="shared" si="4"/>
        <v>1740</v>
      </c>
      <c r="N5" s="8" t="str">
        <f t="shared" si="5"/>
        <v>KEEP SELLING</v>
      </c>
      <c r="Q5" s="13"/>
      <c r="R5" s="12"/>
    </row>
    <row r="6" spans="1:20" x14ac:dyDescent="0.2">
      <c r="A6" s="2" t="s">
        <v>30</v>
      </c>
      <c r="B6" s="2" t="s">
        <v>28</v>
      </c>
      <c r="C6" s="2" t="s">
        <v>12</v>
      </c>
      <c r="D6" s="2" t="s">
        <v>12</v>
      </c>
      <c r="E6" s="3">
        <v>10</v>
      </c>
      <c r="F6" s="17">
        <v>5061</v>
      </c>
      <c r="G6" s="3">
        <f t="shared" si="1"/>
        <v>50610</v>
      </c>
      <c r="H6" s="5">
        <v>180</v>
      </c>
      <c r="I6" s="4">
        <v>600</v>
      </c>
      <c r="J6" s="5">
        <f t="shared" si="2"/>
        <v>780</v>
      </c>
      <c r="K6" s="5">
        <f t="shared" si="0"/>
        <v>4281</v>
      </c>
      <c r="L6" s="6">
        <f t="shared" si="3"/>
        <v>7800</v>
      </c>
      <c r="M6" s="6">
        <f t="shared" si="4"/>
        <v>42810</v>
      </c>
      <c r="N6" s="8" t="str">
        <f t="shared" si="5"/>
        <v>KEEP SELLING</v>
      </c>
      <c r="O6">
        <v>600</v>
      </c>
      <c r="P6" t="s">
        <v>36</v>
      </c>
    </row>
    <row r="7" spans="1:20" x14ac:dyDescent="0.2">
      <c r="A7" s="2" t="s">
        <v>30</v>
      </c>
      <c r="B7" s="2" t="s">
        <v>28</v>
      </c>
      <c r="C7" s="2" t="s">
        <v>13</v>
      </c>
      <c r="D7" s="2" t="s">
        <v>13</v>
      </c>
      <c r="E7" s="3">
        <v>5</v>
      </c>
      <c r="F7" s="17">
        <v>529</v>
      </c>
      <c r="G7" s="3">
        <f t="shared" si="1"/>
        <v>2645</v>
      </c>
      <c r="H7" s="5">
        <v>0</v>
      </c>
      <c r="I7" s="4"/>
      <c r="J7" s="5">
        <f t="shared" si="2"/>
        <v>0</v>
      </c>
      <c r="K7" s="5">
        <f t="shared" si="0"/>
        <v>529</v>
      </c>
      <c r="L7" s="6">
        <f t="shared" si="3"/>
        <v>0</v>
      </c>
      <c r="M7" s="6">
        <f t="shared" si="4"/>
        <v>2645</v>
      </c>
      <c r="N7" s="8" t="str">
        <f t="shared" si="5"/>
        <v>KEEP SELLING</v>
      </c>
    </row>
    <row r="8" spans="1:20" x14ac:dyDescent="0.2">
      <c r="A8" s="2" t="s">
        <v>30</v>
      </c>
      <c r="B8" s="2" t="s">
        <v>28</v>
      </c>
      <c r="C8" s="2" t="s">
        <v>14</v>
      </c>
      <c r="D8" s="2" t="s">
        <v>14</v>
      </c>
      <c r="E8" s="3">
        <v>10</v>
      </c>
      <c r="F8" s="17">
        <v>559</v>
      </c>
      <c r="G8" s="3">
        <f t="shared" si="1"/>
        <v>5590</v>
      </c>
      <c r="H8" s="5">
        <v>100</v>
      </c>
      <c r="I8" s="4">
        <v>100</v>
      </c>
      <c r="J8" s="5">
        <f t="shared" si="2"/>
        <v>200</v>
      </c>
      <c r="K8" s="5">
        <f t="shared" si="0"/>
        <v>359</v>
      </c>
      <c r="L8" s="6">
        <f t="shared" si="3"/>
        <v>2000</v>
      </c>
      <c r="M8" s="6">
        <f t="shared" si="4"/>
        <v>3590</v>
      </c>
      <c r="N8" s="8" t="str">
        <f t="shared" si="5"/>
        <v>KEEP SELLING</v>
      </c>
      <c r="O8">
        <v>100</v>
      </c>
    </row>
    <row r="9" spans="1:20" x14ac:dyDescent="0.2">
      <c r="A9" s="2" t="s">
        <v>30</v>
      </c>
      <c r="B9" s="2" t="s">
        <v>28</v>
      </c>
      <c r="C9" s="2" t="s">
        <v>15</v>
      </c>
      <c r="D9" s="2" t="s">
        <v>15</v>
      </c>
      <c r="E9" s="3">
        <v>10</v>
      </c>
      <c r="F9" s="17">
        <v>596</v>
      </c>
      <c r="G9" s="3">
        <f t="shared" si="1"/>
        <v>5960</v>
      </c>
      <c r="H9" s="5">
        <v>80</v>
      </c>
      <c r="I9" s="4">
        <v>60</v>
      </c>
      <c r="J9" s="5">
        <f t="shared" si="2"/>
        <v>140</v>
      </c>
      <c r="K9" s="5">
        <f t="shared" si="0"/>
        <v>456</v>
      </c>
      <c r="L9" s="6">
        <f t="shared" si="3"/>
        <v>1400</v>
      </c>
      <c r="M9" s="6">
        <f t="shared" si="4"/>
        <v>4560</v>
      </c>
      <c r="N9" s="8" t="str">
        <f t="shared" si="5"/>
        <v>KEEP SELLING</v>
      </c>
      <c r="O9">
        <v>60</v>
      </c>
    </row>
    <row r="10" spans="1:20" x14ac:dyDescent="0.2">
      <c r="A10" s="2" t="s">
        <v>30</v>
      </c>
      <c r="B10" s="2" t="s">
        <v>28</v>
      </c>
      <c r="C10" s="2" t="s">
        <v>16</v>
      </c>
      <c r="D10" s="2" t="s">
        <v>16</v>
      </c>
      <c r="E10" s="3">
        <v>30</v>
      </c>
      <c r="F10" s="17">
        <v>212</v>
      </c>
      <c r="G10" s="3">
        <f t="shared" si="1"/>
        <v>6360</v>
      </c>
      <c r="H10" s="5">
        <v>0</v>
      </c>
      <c r="I10" s="4">
        <v>46</v>
      </c>
      <c r="J10" s="5">
        <f t="shared" si="2"/>
        <v>46</v>
      </c>
      <c r="K10" s="5">
        <f t="shared" si="0"/>
        <v>166</v>
      </c>
      <c r="L10" s="6">
        <f t="shared" si="3"/>
        <v>1380</v>
      </c>
      <c r="M10" s="6">
        <f t="shared" si="4"/>
        <v>4980</v>
      </c>
      <c r="N10" s="8" t="str">
        <f t="shared" si="5"/>
        <v>KEEP SELLING</v>
      </c>
      <c r="O10">
        <v>46</v>
      </c>
    </row>
    <row r="11" spans="1:20" x14ac:dyDescent="0.2">
      <c r="A11" s="2" t="s">
        <v>30</v>
      </c>
      <c r="B11" s="2" t="s">
        <v>28</v>
      </c>
      <c r="C11" s="2" t="s">
        <v>17</v>
      </c>
      <c r="D11" s="2" t="s">
        <v>17</v>
      </c>
      <c r="E11" s="3">
        <v>30</v>
      </c>
      <c r="F11" s="17">
        <v>61</v>
      </c>
      <c r="G11" s="3">
        <f t="shared" si="1"/>
        <v>1830</v>
      </c>
      <c r="H11" s="5">
        <v>0</v>
      </c>
      <c r="I11" s="4"/>
      <c r="J11" s="5">
        <f t="shared" si="2"/>
        <v>0</v>
      </c>
      <c r="K11" s="5">
        <f>F11-J11</f>
        <v>61</v>
      </c>
      <c r="L11" s="6">
        <f t="shared" si="3"/>
        <v>0</v>
      </c>
      <c r="M11" s="6">
        <f t="shared" si="4"/>
        <v>1830</v>
      </c>
      <c r="N11" s="8" t="str">
        <f t="shared" si="5"/>
        <v>KEEP SELLING</v>
      </c>
    </row>
    <row r="12" spans="1:20" x14ac:dyDescent="0.2">
      <c r="A12" s="2" t="s">
        <v>30</v>
      </c>
      <c r="B12" s="2" t="s">
        <v>28</v>
      </c>
      <c r="C12" s="2" t="s">
        <v>18</v>
      </c>
      <c r="D12" s="2" t="s">
        <v>18</v>
      </c>
      <c r="E12" s="3">
        <v>30</v>
      </c>
      <c r="F12" s="17">
        <v>45</v>
      </c>
      <c r="G12" s="3">
        <f t="shared" si="1"/>
        <v>1350</v>
      </c>
      <c r="H12" s="5">
        <v>0</v>
      </c>
      <c r="I12" s="4"/>
      <c r="J12" s="5">
        <f t="shared" si="2"/>
        <v>0</v>
      </c>
      <c r="K12" s="5">
        <f t="shared" si="0"/>
        <v>45</v>
      </c>
      <c r="L12" s="6">
        <f t="shared" si="3"/>
        <v>0</v>
      </c>
      <c r="M12" s="6">
        <f t="shared" si="4"/>
        <v>1350</v>
      </c>
      <c r="N12" s="8" t="str">
        <f t="shared" si="5"/>
        <v>KEEP SELLING</v>
      </c>
    </row>
    <row r="13" spans="1:20" x14ac:dyDescent="0.2">
      <c r="A13" s="2" t="s">
        <v>30</v>
      </c>
      <c r="B13" s="2" t="s">
        <v>28</v>
      </c>
      <c r="C13" s="2" t="s">
        <v>19</v>
      </c>
      <c r="D13" s="2" t="s">
        <v>19</v>
      </c>
      <c r="E13" s="3">
        <v>80</v>
      </c>
      <c r="F13" s="17">
        <v>754</v>
      </c>
      <c r="G13" s="3">
        <f t="shared" si="1"/>
        <v>60320</v>
      </c>
      <c r="H13" s="5">
        <v>70</v>
      </c>
      <c r="I13" s="4">
        <v>70</v>
      </c>
      <c r="J13" s="5">
        <f t="shared" si="2"/>
        <v>140</v>
      </c>
      <c r="K13" s="5">
        <f t="shared" si="0"/>
        <v>614</v>
      </c>
      <c r="L13" s="6">
        <f t="shared" si="3"/>
        <v>11200</v>
      </c>
      <c r="M13" s="6">
        <f t="shared" si="4"/>
        <v>49120</v>
      </c>
      <c r="N13" s="8" t="str">
        <f t="shared" si="5"/>
        <v>KEEP SELLING</v>
      </c>
      <c r="O13">
        <v>60</v>
      </c>
    </row>
  </sheetData>
  <conditionalFormatting sqref="H2:I13">
    <cfRule type="cellIs" dxfId="6" priority="8" operator="lessThan">
      <formula>0</formula>
    </cfRule>
  </conditionalFormatting>
  <conditionalFormatting sqref="K2:N13">
    <cfRule type="cellIs" dxfId="5" priority="4" operator="lessThan">
      <formula>0</formula>
    </cfRule>
  </conditionalFormatting>
  <conditionalFormatting sqref="N1:N1048576">
    <cfRule type="containsText" dxfId="4" priority="2" operator="containsText" text="DO NOT SELL">
      <formula>NOT(ISERROR(SEARCH("DO NOT SELL",N1)))</formula>
    </cfRule>
    <cfRule type="containsText" dxfId="3" priority="3" operator="containsText" text="KEEP SELLING">
      <formula>NOT(ISERROR(SEARCH("KEEP SELLING",N1)))</formula>
    </cfRule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66E50-54CA-4EE1-B2B7-1EF982B2A2E7}">
  <dimension ref="A1:L13"/>
  <sheetViews>
    <sheetView workbookViewId="0">
      <selection activeCell="I11" sqref="I11"/>
    </sheetView>
  </sheetViews>
  <sheetFormatPr defaultColWidth="9" defaultRowHeight="12.75" x14ac:dyDescent="0.2"/>
  <cols>
    <col min="1" max="1" width="20.140625" bestFit="1" customWidth="1"/>
    <col min="2" max="2" width="44" bestFit="1" customWidth="1"/>
    <col min="3" max="3" width="10.85546875" bestFit="1" customWidth="1"/>
    <col min="4" max="4" width="11" bestFit="1" customWidth="1"/>
    <col min="5" max="6" width="8.140625" bestFit="1" customWidth="1"/>
    <col min="7" max="7" width="11.7109375" bestFit="1" customWidth="1"/>
    <col min="8" max="8" width="6.7109375" bestFit="1" customWidth="1"/>
    <col min="9" max="9" width="4.42578125" bestFit="1" customWidth="1"/>
    <col min="10" max="10" width="6.28515625" bestFit="1" customWidth="1"/>
    <col min="11" max="11" width="3.5703125" bestFit="1" customWidth="1"/>
    <col min="12" max="12" width="20.42578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0" t="s">
        <v>5</v>
      </c>
      <c r="G1" s="1" t="s">
        <v>6</v>
      </c>
      <c r="H1" s="10" t="s">
        <v>32</v>
      </c>
      <c r="I1" s="1" t="s">
        <v>33</v>
      </c>
      <c r="J1" s="1" t="s">
        <v>31</v>
      </c>
      <c r="K1" s="1" t="s">
        <v>34</v>
      </c>
      <c r="L1" s="7" t="s">
        <v>35</v>
      </c>
    </row>
    <row r="2" spans="1:12" x14ac:dyDescent="0.2">
      <c r="A2" s="2" t="s">
        <v>29</v>
      </c>
      <c r="B2" s="2" t="s">
        <v>27</v>
      </c>
      <c r="C2" s="2" t="s">
        <v>22</v>
      </c>
      <c r="D2" s="2" t="s">
        <v>22</v>
      </c>
      <c r="E2" s="3">
        <v>80</v>
      </c>
      <c r="F2" s="17">
        <v>460</v>
      </c>
      <c r="G2" s="3">
        <f>E2*F2</f>
        <v>36800</v>
      </c>
      <c r="H2" s="5">
        <v>30</v>
      </c>
      <c r="I2" s="4"/>
      <c r="J2" s="5"/>
      <c r="K2" s="5">
        <v>98</v>
      </c>
      <c r="L2" s="18">
        <f>H2+I2+J2+K2</f>
        <v>128</v>
      </c>
    </row>
    <row r="3" spans="1:12" x14ac:dyDescent="0.2">
      <c r="A3" s="2" t="s">
        <v>29</v>
      </c>
      <c r="B3" s="2" t="s">
        <v>27</v>
      </c>
      <c r="C3" s="2" t="s">
        <v>23</v>
      </c>
      <c r="D3" s="2" t="s">
        <v>23</v>
      </c>
      <c r="E3" s="3">
        <v>50</v>
      </c>
      <c r="F3" s="17">
        <v>439</v>
      </c>
      <c r="G3" s="3">
        <f t="shared" ref="G3:G13" si="0">E3*F3</f>
        <v>21950</v>
      </c>
      <c r="H3" s="5">
        <v>20</v>
      </c>
      <c r="I3" s="4"/>
      <c r="J3" s="5"/>
      <c r="K3" s="5"/>
      <c r="L3" s="18">
        <f t="shared" ref="L3:L13" si="1">H3+I3+J3+K3</f>
        <v>20</v>
      </c>
    </row>
    <row r="4" spans="1:12" x14ac:dyDescent="0.2">
      <c r="A4" s="2" t="s">
        <v>29</v>
      </c>
      <c r="B4" s="2" t="s">
        <v>27</v>
      </c>
      <c r="C4" s="2" t="s">
        <v>24</v>
      </c>
      <c r="D4" s="2" t="s">
        <v>24</v>
      </c>
      <c r="E4" s="3">
        <v>100</v>
      </c>
      <c r="F4" s="17">
        <v>696</v>
      </c>
      <c r="G4" s="3">
        <f t="shared" si="0"/>
        <v>69600</v>
      </c>
      <c r="H4" s="5">
        <v>30</v>
      </c>
      <c r="I4" s="4"/>
      <c r="J4" s="5"/>
      <c r="K4" s="5"/>
      <c r="L4" s="18">
        <f t="shared" si="1"/>
        <v>30</v>
      </c>
    </row>
    <row r="5" spans="1:12" x14ac:dyDescent="0.2">
      <c r="A5" s="2" t="s">
        <v>30</v>
      </c>
      <c r="B5" s="2" t="s">
        <v>28</v>
      </c>
      <c r="C5" s="2" t="s">
        <v>11</v>
      </c>
      <c r="D5" s="2" t="s">
        <v>11</v>
      </c>
      <c r="E5" s="3">
        <v>10</v>
      </c>
      <c r="F5" s="17">
        <v>554</v>
      </c>
      <c r="G5" s="3">
        <f t="shared" si="0"/>
        <v>5540</v>
      </c>
      <c r="H5" s="5"/>
      <c r="I5" s="4"/>
      <c r="J5" s="5"/>
      <c r="K5" s="5"/>
      <c r="L5" s="18">
        <f t="shared" si="1"/>
        <v>0</v>
      </c>
    </row>
    <row r="6" spans="1:12" x14ac:dyDescent="0.2">
      <c r="A6" s="2" t="s">
        <v>30</v>
      </c>
      <c r="B6" s="2" t="s">
        <v>28</v>
      </c>
      <c r="C6" s="2" t="s">
        <v>12</v>
      </c>
      <c r="D6" s="2" t="s">
        <v>12</v>
      </c>
      <c r="E6" s="3">
        <v>10</v>
      </c>
      <c r="F6" s="17">
        <v>5061</v>
      </c>
      <c r="G6" s="3">
        <f t="shared" si="0"/>
        <v>50610</v>
      </c>
      <c r="H6" s="5">
        <v>600</v>
      </c>
      <c r="I6" s="4"/>
      <c r="J6" s="5"/>
      <c r="K6" s="5"/>
      <c r="L6" s="18">
        <f t="shared" si="1"/>
        <v>600</v>
      </c>
    </row>
    <row r="7" spans="1:12" x14ac:dyDescent="0.2">
      <c r="A7" s="2" t="s">
        <v>30</v>
      </c>
      <c r="B7" s="2" t="s">
        <v>28</v>
      </c>
      <c r="C7" s="2" t="s">
        <v>13</v>
      </c>
      <c r="D7" s="2" t="s">
        <v>13</v>
      </c>
      <c r="E7" s="3">
        <v>5</v>
      </c>
      <c r="F7" s="17">
        <v>529</v>
      </c>
      <c r="G7" s="3">
        <f t="shared" si="0"/>
        <v>2645</v>
      </c>
      <c r="H7" s="5"/>
      <c r="I7" s="4"/>
      <c r="J7" s="5"/>
      <c r="K7" s="5"/>
      <c r="L7" s="18">
        <f t="shared" si="1"/>
        <v>0</v>
      </c>
    </row>
    <row r="8" spans="1:12" x14ac:dyDescent="0.2">
      <c r="A8" s="2" t="s">
        <v>30</v>
      </c>
      <c r="B8" s="2" t="s">
        <v>28</v>
      </c>
      <c r="C8" s="2" t="s">
        <v>14</v>
      </c>
      <c r="D8" s="2" t="s">
        <v>14</v>
      </c>
      <c r="E8" s="3">
        <v>10</v>
      </c>
      <c r="F8" s="17">
        <v>559</v>
      </c>
      <c r="G8" s="3">
        <f t="shared" si="0"/>
        <v>5590</v>
      </c>
      <c r="H8" s="5">
        <v>100</v>
      </c>
      <c r="I8" s="4"/>
      <c r="J8" s="5"/>
      <c r="K8" s="5"/>
      <c r="L8" s="18">
        <f t="shared" si="1"/>
        <v>100</v>
      </c>
    </row>
    <row r="9" spans="1:12" x14ac:dyDescent="0.2">
      <c r="A9" s="2" t="s">
        <v>30</v>
      </c>
      <c r="B9" s="2" t="s">
        <v>28</v>
      </c>
      <c r="C9" s="2" t="s">
        <v>15</v>
      </c>
      <c r="D9" s="2" t="s">
        <v>15</v>
      </c>
      <c r="E9" s="3">
        <v>10</v>
      </c>
      <c r="F9" s="17">
        <v>596</v>
      </c>
      <c r="G9" s="3">
        <f t="shared" si="0"/>
        <v>5960</v>
      </c>
      <c r="H9" s="5">
        <v>60</v>
      </c>
      <c r="I9" s="4"/>
      <c r="J9" s="5"/>
      <c r="K9" s="5"/>
      <c r="L9" s="18">
        <f t="shared" si="1"/>
        <v>60</v>
      </c>
    </row>
    <row r="10" spans="1:12" x14ac:dyDescent="0.2">
      <c r="A10" s="2" t="s">
        <v>30</v>
      </c>
      <c r="B10" s="2" t="s">
        <v>28</v>
      </c>
      <c r="C10" s="2" t="s">
        <v>16</v>
      </c>
      <c r="D10" s="2" t="s">
        <v>16</v>
      </c>
      <c r="E10" s="3">
        <v>30</v>
      </c>
      <c r="F10" s="17">
        <v>212</v>
      </c>
      <c r="G10" s="3">
        <f t="shared" si="0"/>
        <v>6360</v>
      </c>
      <c r="H10" s="5">
        <v>46</v>
      </c>
      <c r="I10" s="4"/>
      <c r="J10" s="5">
        <v>6</v>
      </c>
      <c r="K10" s="5"/>
      <c r="L10" s="18">
        <f t="shared" si="1"/>
        <v>52</v>
      </c>
    </row>
    <row r="11" spans="1:12" x14ac:dyDescent="0.2">
      <c r="A11" s="2" t="s">
        <v>30</v>
      </c>
      <c r="B11" s="2" t="s">
        <v>28</v>
      </c>
      <c r="C11" s="2" t="s">
        <v>17</v>
      </c>
      <c r="D11" s="2" t="s">
        <v>17</v>
      </c>
      <c r="E11" s="3">
        <v>30</v>
      </c>
      <c r="F11" s="17">
        <v>61</v>
      </c>
      <c r="G11" s="3">
        <f t="shared" si="0"/>
        <v>1830</v>
      </c>
      <c r="H11" s="5"/>
      <c r="I11" s="4"/>
      <c r="J11" s="5"/>
      <c r="K11" s="5"/>
      <c r="L11" s="18">
        <f t="shared" si="1"/>
        <v>0</v>
      </c>
    </row>
    <row r="12" spans="1:12" x14ac:dyDescent="0.2">
      <c r="A12" s="2" t="s">
        <v>30</v>
      </c>
      <c r="B12" s="2" t="s">
        <v>28</v>
      </c>
      <c r="C12" s="2" t="s">
        <v>18</v>
      </c>
      <c r="D12" s="2" t="s">
        <v>18</v>
      </c>
      <c r="E12" s="3">
        <v>30</v>
      </c>
      <c r="F12" s="17">
        <v>45</v>
      </c>
      <c r="G12" s="3">
        <f t="shared" si="0"/>
        <v>1350</v>
      </c>
      <c r="H12" s="5"/>
      <c r="I12" s="4"/>
      <c r="J12" s="5"/>
      <c r="K12" s="5"/>
      <c r="L12" s="18">
        <f t="shared" si="1"/>
        <v>0</v>
      </c>
    </row>
    <row r="13" spans="1:12" x14ac:dyDescent="0.2">
      <c r="A13" s="2" t="s">
        <v>30</v>
      </c>
      <c r="B13" s="2" t="s">
        <v>28</v>
      </c>
      <c r="C13" s="2" t="s">
        <v>19</v>
      </c>
      <c r="D13" s="2" t="s">
        <v>19</v>
      </c>
      <c r="E13" s="3">
        <v>80</v>
      </c>
      <c r="F13" s="17">
        <v>754</v>
      </c>
      <c r="G13" s="3">
        <f t="shared" si="0"/>
        <v>60320</v>
      </c>
      <c r="H13" s="5">
        <v>60</v>
      </c>
      <c r="I13" s="4"/>
      <c r="J13" s="5"/>
      <c r="K13" s="5"/>
      <c r="L13" s="18">
        <f t="shared" si="1"/>
        <v>60</v>
      </c>
    </row>
  </sheetData>
  <conditionalFormatting sqref="K2:L13 H2:I13">
    <cfRule type="cellIs" dxfId="2" priority="4" operator="lessThan">
      <formula>0</formula>
    </cfRule>
  </conditionalFormatting>
  <conditionalFormatting sqref="L1:L13">
    <cfRule type="containsText" dxfId="1" priority="1" operator="containsText" text="DO NOT SELL">
      <formula>NOT(ISERROR(SEARCH("DO NOT SELL",L1)))</formula>
    </cfRule>
    <cfRule type="containsText" dxfId="0" priority="2" operator="containsText" text="KEEP SELLING">
      <formula>NOT(ISERROR(SEARCH("KEEP SELLING",L1)))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 of today</vt:lpstr>
      <vt:lpstr>Additional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2025-08-13T15:54:54Z</dcterms:modified>
  <cp:category/>
  <cp:contentStatus/>
</cp:coreProperties>
</file>