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3 SD Promotions\Sales Team\"/>
    </mc:Choice>
  </mc:AlternateContent>
  <xr:revisionPtr revIDLastSave="0" documentId="13_ncr:1_{102AD436-9DB6-4263-82A3-B6B5E943B49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dditional Sales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0" l="1"/>
  <c r="L12" i="10"/>
  <c r="L11" i="10"/>
  <c r="L10" i="10"/>
  <c r="L9" i="10"/>
  <c r="L8" i="10"/>
  <c r="L7" i="10"/>
  <c r="L6" i="10"/>
  <c r="L5" i="10"/>
  <c r="L4" i="10"/>
  <c r="L3" i="10"/>
  <c r="L2" i="10"/>
  <c r="G13" i="10"/>
  <c r="G12" i="10"/>
  <c r="G11" i="10"/>
  <c r="G10" i="10"/>
  <c r="G9" i="10"/>
  <c r="G8" i="10"/>
  <c r="G7" i="10"/>
  <c r="G6" i="10"/>
  <c r="G5" i="10"/>
  <c r="G4" i="10"/>
  <c r="G3" i="10"/>
  <c r="G2" i="10"/>
</calcChain>
</file>

<file path=xl/sharedStrings.xml><?xml version="1.0" encoding="utf-8"?>
<sst xmlns="http://schemas.openxmlformats.org/spreadsheetml/2006/main" count="60" uniqueCount="28">
  <si>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</si>
  <si>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</si>
  <si>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</si>
  <si>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</si>
  <si>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</si>
  <si>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</si>
  <si>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</si>
  <si>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G-A06</t>
  </si>
  <si>
    <t>G-A16</t>
  </si>
  <si>
    <t>G-A16-5G</t>
  </si>
  <si>
    <t>G-A36-5G</t>
  </si>
  <si>
    <t>G-A56-5G</t>
  </si>
  <si>
    <t>G-S24-ULTRA</t>
  </si>
  <si>
    <t>G-S25</t>
  </si>
  <si>
    <t>G-S25+</t>
  </si>
  <si>
    <t>G-S25-ULTRA</t>
  </si>
  <si>
    <t>G-Z-FLIP7</t>
  </si>
  <si>
    <t>G-Z-FLIP7-FE</t>
  </si>
  <si>
    <t>G-Z-FOLD7</t>
  </si>
  <si>
    <t>VITEL W31-W33 Foldables Series Launching ST Promo</t>
  </si>
  <si>
    <t>VITEL W32-W33 VE Sell-Thru Promotion</t>
  </si>
  <si>
    <t>A0S3A0A250000783</t>
  </si>
  <si>
    <t>A0S3A0A250000835</t>
  </si>
  <si>
    <t>Joseph</t>
  </si>
  <si>
    <t>Ricardo</t>
  </si>
  <si>
    <t>Alan</t>
  </si>
  <si>
    <t>Wil</t>
  </si>
  <si>
    <t>Sum of additional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</si>
</sst>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4" borderId="1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  <xf numFmtId="0" fontId="1" fillId="2" borderId="2" xfId="0" applyFont="1" applyFill="1" applyBorder="1"/>
    <xf numFmtId="1" fontId="1" fillId="2" borderId="1" xfId="0" applyNumberFormat="1" applyFont="1" applyFill="1" applyBorder="1"/>
    <xf numFmtId="3" fontId="0" fillId="4" borderId="1" xfId="0" applyNumberFormat="1" applyFill="1" applyBorder="1"/>
    <xf numFmtId="1" fontId="1" fillId="3" borderId="1" xfId="0" applyNumberFormat="1" applyFont="1" applyFill="1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6E50-54CA-4EE1-B2B7-1EF982B2A2E7}">
  <dimension ref="A1:L13"/>
  <sheetViews>
    <sheetView tabSelected="1" workbookViewId="0">
      <selection activeCell="I3" sqref="I3"/>
    </sheetView>
  </sheetViews>
  <sheetFormatPr defaultColWidth="9" defaultRowHeight="12.75" x14ac:dyDescent="0.2"/>
  <cols>
    <col min="1" max="1" width="20.140625" bestFit="1" customWidth="1"/>
    <col min="2" max="2" width="44" bestFit="1" customWidth="1"/>
    <col min="3" max="3" width="10.85546875" bestFit="1" customWidth="1"/>
    <col min="4" max="4" width="11" bestFit="1" customWidth="1"/>
    <col min="5" max="6" width="8.140625" bestFit="1" customWidth="1"/>
    <col min="7" max="7" width="11.7109375" bestFit="1" customWidth="1"/>
    <col min="8" max="8" width="6.7109375" bestFit="1" customWidth="1"/>
    <col min="9" max="9" width="4.42578125" bestFit="1" customWidth="1"/>
    <col min="10" max="10" width="6.28515625" bestFit="1" customWidth="1"/>
    <col min="11" max="11" width="3.5703125" bestFit="1" customWidth="1"/>
    <col min="12" max="12" width="20.42578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24</v>
      </c>
      <c r="I1" s="1" t="s">
        <v>25</v>
      </c>
      <c r="J1" s="1" t="s">
        <v>23</v>
      </c>
      <c r="K1" s="1" t="s">
        <v>26</v>
      </c>
      <c r="L1" s="6" t="s">
        <v>27</v>
      </c>
    </row>
    <row r="2" spans="1:12" x14ac:dyDescent="0.2">
      <c r="A2" s="2" t="s">
        <v>21</v>
      </c>
      <c r="B2" s="2" t="s">
        <v>19</v>
      </c>
      <c r="C2" s="2" t="s">
        <v>16</v>
      </c>
      <c r="D2" s="2" t="s">
        <v>16</v>
      </c>
      <c r="E2" s="3">
        <v>80</v>
      </c>
      <c r="F2" s="8">
        <v>460</v>
      </c>
      <c r="G2" s="3">
        <f>E2*F2</f>
        <v>36800</v>
      </c>
      <c r="H2" s="5">
        <v>30</v>
      </c>
      <c r="I2" s="4"/>
      <c r="J2" s="5"/>
      <c r="K2" s="5">
        <v>98</v>
      </c>
      <c r="L2" s="9">
        <f>H2+I2+J2+K2</f>
        <v>128</v>
      </c>
    </row>
    <row r="3" spans="1:12" x14ac:dyDescent="0.2">
      <c r="A3" s="2" t="s">
        <v>21</v>
      </c>
      <c r="B3" s="2" t="s">
        <v>19</v>
      </c>
      <c r="C3" s="2" t="s">
        <v>17</v>
      </c>
      <c r="D3" s="2" t="s">
        <v>17</v>
      </c>
      <c r="E3" s="3">
        <v>50</v>
      </c>
      <c r="F3" s="8">
        <v>439</v>
      </c>
      <c r="G3" s="3">
        <f t="shared" ref="G3:G13" si="0">E3*F3</f>
        <v>21950</v>
      </c>
      <c r="H3" s="5">
        <v>20</v>
      </c>
      <c r="I3" s="4"/>
      <c r="J3" s="5"/>
      <c r="K3" s="5"/>
      <c r="L3" s="9">
        <f t="shared" ref="L3:L13" si="1">H3+I3+J3+K3</f>
        <v>20</v>
      </c>
    </row>
    <row r="4" spans="1:12" x14ac:dyDescent="0.2">
      <c r="A4" s="2" t="s">
        <v>21</v>
      </c>
      <c r="B4" s="2" t="s">
        <v>19</v>
      </c>
      <c r="C4" s="2" t="s">
        <v>18</v>
      </c>
      <c r="D4" s="2" t="s">
        <v>18</v>
      </c>
      <c r="E4" s="3">
        <v>100</v>
      </c>
      <c r="F4" s="8">
        <v>696</v>
      </c>
      <c r="G4" s="3">
        <f t="shared" si="0"/>
        <v>69600</v>
      </c>
      <c r="H4" s="5">
        <v>30</v>
      </c>
      <c r="I4" s="4"/>
      <c r="J4" s="5"/>
      <c r="K4" s="5"/>
      <c r="L4" s="9">
        <f t="shared" si="1"/>
        <v>30</v>
      </c>
    </row>
    <row r="5" spans="1:12" x14ac:dyDescent="0.2">
      <c r="A5" s="2" t="s">
        <v>22</v>
      </c>
      <c r="B5" s="2" t="s">
        <v>20</v>
      </c>
      <c r="C5" s="2" t="s">
        <v>7</v>
      </c>
      <c r="D5" s="2" t="s">
        <v>7</v>
      </c>
      <c r="E5" s="3">
        <v>10</v>
      </c>
      <c r="F5" s="8">
        <v>554</v>
      </c>
      <c r="G5" s="3">
        <f t="shared" si="0"/>
        <v>5540</v>
      </c>
      <c r="H5" s="5"/>
      <c r="I5" s="4"/>
      <c r="J5" s="5"/>
      <c r="K5" s="5"/>
      <c r="L5" s="9">
        <f t="shared" si="1"/>
        <v>0</v>
      </c>
    </row>
    <row r="6" spans="1:12" x14ac:dyDescent="0.2">
      <c r="A6" s="2" t="s">
        <v>22</v>
      </c>
      <c r="B6" s="2" t="s">
        <v>20</v>
      </c>
      <c r="C6" s="2" t="s">
        <v>8</v>
      </c>
      <c r="D6" s="2" t="s">
        <v>8</v>
      </c>
      <c r="E6" s="3">
        <v>10</v>
      </c>
      <c r="F6" s="8">
        <v>5061</v>
      </c>
      <c r="G6" s="3">
        <f t="shared" si="0"/>
        <v>50610</v>
      </c>
      <c r="H6" s="5">
        <v>600</v>
      </c>
      <c r="I6" s="4"/>
      <c r="J6" s="5"/>
      <c r="K6" s="5"/>
      <c r="L6" s="9">
        <f t="shared" si="1"/>
        <v>600</v>
      </c>
    </row>
    <row r="7" spans="1:12" x14ac:dyDescent="0.2">
      <c r="A7" s="2" t="s">
        <v>22</v>
      </c>
      <c r="B7" s="2" t="s">
        <v>20</v>
      </c>
      <c r="C7" s="2" t="s">
        <v>9</v>
      </c>
      <c r="D7" s="2" t="s">
        <v>9</v>
      </c>
      <c r="E7" s="3">
        <v>5</v>
      </c>
      <c r="F7" s="8">
        <v>529</v>
      </c>
      <c r="G7" s="3">
        <f t="shared" si="0"/>
        <v>2645</v>
      </c>
      <c r="H7" s="5"/>
      <c r="I7" s="4"/>
      <c r="J7" s="5"/>
      <c r="K7" s="5"/>
      <c r="L7" s="9">
        <f t="shared" si="1"/>
        <v>0</v>
      </c>
    </row>
    <row r="8" spans="1:12" x14ac:dyDescent="0.2">
      <c r="A8" s="2" t="s">
        <v>22</v>
      </c>
      <c r="B8" s="2" t="s">
        <v>20</v>
      </c>
      <c r="C8" s="2" t="s">
        <v>10</v>
      </c>
      <c r="D8" s="2" t="s">
        <v>10</v>
      </c>
      <c r="E8" s="3">
        <v>10</v>
      </c>
      <c r="F8" s="8">
        <v>559</v>
      </c>
      <c r="G8" s="3">
        <f t="shared" si="0"/>
        <v>5590</v>
      </c>
      <c r="H8" s="5">
        <v>100</v>
      </c>
      <c r="I8" s="4"/>
      <c r="J8" s="5"/>
      <c r="K8" s="5"/>
      <c r="L8" s="9">
        <f t="shared" si="1"/>
        <v>100</v>
      </c>
    </row>
    <row r="9" spans="1:12" x14ac:dyDescent="0.2">
      <c r="A9" s="2" t="s">
        <v>22</v>
      </c>
      <c r="B9" s="2" t="s">
        <v>20</v>
      </c>
      <c r="C9" s="2" t="s">
        <v>11</v>
      </c>
      <c r="D9" s="2" t="s">
        <v>11</v>
      </c>
      <c r="E9" s="3">
        <v>10</v>
      </c>
      <c r="F9" s="8">
        <v>596</v>
      </c>
      <c r="G9" s="3">
        <f t="shared" si="0"/>
        <v>5960</v>
      </c>
      <c r="H9" s="5">
        <v>60</v>
      </c>
      <c r="I9" s="4"/>
      <c r="J9" s="5"/>
      <c r="K9" s="5"/>
      <c r="L9" s="9">
        <f t="shared" si="1"/>
        <v>60</v>
      </c>
    </row>
    <row r="10" spans="1:12" x14ac:dyDescent="0.2">
      <c r="A10" s="2" t="s">
        <v>22</v>
      </c>
      <c r="B10" s="2" t="s">
        <v>20</v>
      </c>
      <c r="C10" s="2" t="s">
        <v>12</v>
      </c>
      <c r="D10" s="2" t="s">
        <v>12</v>
      </c>
      <c r="E10" s="3">
        <v>30</v>
      </c>
      <c r="F10" s="8">
        <v>212</v>
      </c>
      <c r="G10" s="3">
        <f t="shared" si="0"/>
        <v>6360</v>
      </c>
      <c r="H10" s="5">
        <v>46</v>
      </c>
      <c r="I10" s="4"/>
      <c r="J10" s="5">
        <v>6</v>
      </c>
      <c r="K10" s="5"/>
      <c r="L10" s="9">
        <f t="shared" si="1"/>
        <v>52</v>
      </c>
    </row>
    <row r="11" spans="1:12" x14ac:dyDescent="0.2">
      <c r="A11" s="2" t="s">
        <v>22</v>
      </c>
      <c r="B11" s="2" t="s">
        <v>20</v>
      </c>
      <c r="C11" s="2" t="s">
        <v>13</v>
      </c>
      <c r="D11" s="2" t="s">
        <v>13</v>
      </c>
      <c r="E11" s="3">
        <v>30</v>
      </c>
      <c r="F11" s="8">
        <v>61</v>
      </c>
      <c r="G11" s="3">
        <f t="shared" si="0"/>
        <v>1830</v>
      </c>
      <c r="H11" s="5"/>
      <c r="I11" s="4"/>
      <c r="J11" s="5"/>
      <c r="K11" s="5"/>
      <c r="L11" s="9">
        <f t="shared" si="1"/>
        <v>0</v>
      </c>
    </row>
    <row r="12" spans="1:12" x14ac:dyDescent="0.2">
      <c r="A12" s="2" t="s">
        <v>22</v>
      </c>
      <c r="B12" s="2" t="s">
        <v>20</v>
      </c>
      <c r="C12" s="2" t="s">
        <v>14</v>
      </c>
      <c r="D12" s="2" t="s">
        <v>14</v>
      </c>
      <c r="E12" s="3">
        <v>30</v>
      </c>
      <c r="F12" s="8">
        <v>45</v>
      </c>
      <c r="G12" s="3">
        <f t="shared" si="0"/>
        <v>1350</v>
      </c>
      <c r="H12" s="5"/>
      <c r="I12" s="4"/>
      <c r="J12" s="5"/>
      <c r="K12" s="5"/>
      <c r="L12" s="9">
        <f t="shared" si="1"/>
        <v>0</v>
      </c>
    </row>
    <row r="13" spans="1:12" x14ac:dyDescent="0.2">
      <c r="A13" s="2" t="s">
        <v>22</v>
      </c>
      <c r="B13" s="2" t="s">
        <v>20</v>
      </c>
      <c r="C13" s="2" t="s">
        <v>15</v>
      </c>
      <c r="D13" s="2" t="s">
        <v>15</v>
      </c>
      <c r="E13" s="3">
        <v>80</v>
      </c>
      <c r="F13" s="8">
        <v>754</v>
      </c>
      <c r="G13" s="3">
        <f t="shared" si="0"/>
        <v>60320</v>
      </c>
      <c r="H13" s="5">
        <v>60</v>
      </c>
      <c r="I13" s="4"/>
      <c r="J13" s="5"/>
      <c r="K13" s="5"/>
      <c r="L13" s="9">
        <f t="shared" si="1"/>
        <v>60</v>
      </c>
    </row>
  </sheetData>
  <conditionalFormatting sqref="K2:L13 H2:I13">
    <cfRule type="cellIs" dxfId="2" priority="4" operator="lessThan">
      <formula>0</formula>
    </cfRule>
  </conditionalFormatting>
  <conditionalFormatting sqref="L1:L13">
    <cfRule type="containsText" dxfId="1" priority="1" operator="containsText" text="DO NOT SELL">
      <formula>NOT(ISERROR(SEARCH("DO NOT SELL",L1)))</formula>
    </cfRule>
    <cfRule type="containsText" dxfId="0" priority="2" operator="containsText" text="KEEP SELLING">
      <formula>NOT(ISERROR(SEARCH("KEEP SELLING",L1)))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Additional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2025-08-13T15:54:56Z</dcterms:modified>
  <cp:category/>
  <cp:contentStatus/>
</cp:coreProperties>
</file>