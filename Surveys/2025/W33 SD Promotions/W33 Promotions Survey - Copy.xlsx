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3 SD Promotions\"/>
    </mc:Choice>
  </mc:AlternateContent>
  <xr:revisionPtr revIDLastSave="0" documentId="13_ncr:1_{559B40BD-3D94-40F6-8D08-BD753A83DBFB}" xr6:coauthVersionLast="47" xr6:coauthVersionMax="47" xr10:uidLastSave="{00000000-0000-0000-0000-000000000000}"/>
  <bookViews>
    <workbookView xWindow="-19320" yWindow="-120" windowWidth="19440" windowHeight="10320" xr2:uid="{10A8D13F-CAE4-4AEE-A34A-66FEE8C62528}"/>
  </bookViews>
  <sheets>
    <sheet name="Vi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13" i="1"/>
  <c r="L12" i="1"/>
  <c r="L11" i="1"/>
  <c r="L10" i="1"/>
  <c r="L9" i="1"/>
  <c r="L8" i="1"/>
  <c r="L7" i="1"/>
  <c r="L6" i="1"/>
  <c r="L5" i="1"/>
  <c r="L4" i="1"/>
  <c r="L3" i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<sst xmlns="http://schemas.openxmlformats.org/spreadsheetml/2006/main" count="87" uniqueCount="34">
  <si>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</si>
  <si>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</si>
  <si>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</si>
  <si>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</si>
  <si>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</si>
  <si>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</si>
  <si>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</si>
  <si>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</si>
  <si>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</si>
  <si>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</si>
  <si>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</si>
  <si>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</si>
  <si>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</si>
  <si>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Start Date of Condition</t>
  </si>
  <si>
    <t>End Date of Condition</t>
  </si>
  <si>
    <t>A0S3A0A250000783</t>
  </si>
  <si>
    <t>VITEL W31-W33 Foldables Series Launching ST Promo</t>
  </si>
  <si>
    <t>A2S3A0A250000285</t>
  </si>
  <si>
    <t>VITEL MOBILE, INC.</t>
  </si>
  <si>
    <t>G-Z-FLIP7</t>
  </si>
  <si>
    <t>G-Z-FLIP7-FE</t>
  </si>
  <si>
    <t>G-Z-FOLD7</t>
  </si>
  <si>
    <t>A0S3A0A250000835</t>
  </si>
  <si>
    <t>VITEL W32-W33 VE Sell-Thru Promotion</t>
  </si>
  <si>
    <t>A2S3A0A250000298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</si>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</sst>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04E0-4878-434A-A8D0-C83CB77CC19C}">
  <dimension ref="A1:O13"/>
  <sheetViews>
    <sheetView tabSelected="1" zoomScale="115" zoomScaleNormal="115" workbookViewId="0">
      <selection activeCell="C6" sqref="C6"/>
    </sheetView>
  </sheetViews>
  <sheetFormatPr defaultRowHeight="12.75" x14ac:dyDescent="0.2"/>
  <cols>
    <col min="1" max="1" width="20.140625" bestFit="1" customWidth="1"/>
    <col min="2" max="2" width="43.85546875" bestFit="1" customWidth="1"/>
    <col min="3" max="3" width="25.7109375" bestFit="1" customWidth="1"/>
    <col min="4" max="4" width="15.85546875" bestFit="1" customWidth="1"/>
    <col min="5" max="6" width="11.140625" bestFit="1" customWidth="1"/>
    <col min="7" max="7" width="8.140625" bestFit="1" customWidth="1"/>
    <col min="8" max="8" width="12.28515625" bestFit="1" customWidth="1"/>
    <col min="9" max="9" width="10.7109375" bestFit="1" customWidth="1"/>
    <col min="10" max="10" width="13" bestFit="1" customWidth="1"/>
    <col min="11" max="11" width="11.42578125" bestFit="1" customWidth="1"/>
    <col min="12" max="12" width="13.28515625" bestFit="1" customWidth="1"/>
    <col min="13" max="13" width="11.710937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80</v>
      </c>
      <c r="H2" s="4">
        <v>460</v>
      </c>
      <c r="I2" s="3">
        <v>36800</v>
      </c>
      <c r="J2" s="5">
        <v>144</v>
      </c>
      <c r="K2" s="6">
        <f>G2*J2</f>
        <v>11520</v>
      </c>
      <c r="L2" s="4">
        <f>J2-H2</f>
        <v>-316</v>
      </c>
      <c r="M2" s="3">
        <f>K2-I2</f>
        <v>-25280</v>
      </c>
      <c r="N2" s="7">
        <v>45866</v>
      </c>
      <c r="O2" s="7">
        <v>45886</v>
      </c>
    </row>
    <row r="3" spans="1:15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20</v>
      </c>
      <c r="F3" s="2" t="s">
        <v>20</v>
      </c>
      <c r="G3" s="3">
        <v>50</v>
      </c>
      <c r="H3" s="4">
        <v>439</v>
      </c>
      <c r="I3" s="3">
        <v>21950</v>
      </c>
      <c r="J3" s="5">
        <v>88</v>
      </c>
      <c r="K3" s="6">
        <f t="shared" ref="K3:K13" si="0">G3*J3</f>
        <v>4400</v>
      </c>
      <c r="L3" s="4">
        <f t="shared" ref="L3:L13" si="1">J3-H3</f>
        <v>-351</v>
      </c>
      <c r="M3" s="3">
        <f t="shared" ref="M3:M13" si="2">K3-I3</f>
        <v>-17550</v>
      </c>
      <c r="N3" s="7">
        <v>45866</v>
      </c>
      <c r="O3" s="7">
        <v>45886</v>
      </c>
    </row>
    <row r="4" spans="1:15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21</v>
      </c>
      <c r="G4" s="3">
        <v>100</v>
      </c>
      <c r="H4" s="4">
        <v>696</v>
      </c>
      <c r="I4" s="3">
        <v>69600</v>
      </c>
      <c r="J4" s="5">
        <v>152</v>
      </c>
      <c r="K4" s="6">
        <f t="shared" si="0"/>
        <v>15200</v>
      </c>
      <c r="L4" s="4">
        <f t="shared" si="1"/>
        <v>-544</v>
      </c>
      <c r="M4" s="3">
        <f t="shared" si="2"/>
        <v>-54400</v>
      </c>
      <c r="N4" s="7">
        <v>45866</v>
      </c>
      <c r="O4" s="7">
        <v>45886</v>
      </c>
    </row>
    <row r="5" spans="1:15" x14ac:dyDescent="0.2">
      <c r="A5" s="2" t="s">
        <v>22</v>
      </c>
      <c r="B5" s="2" t="s">
        <v>23</v>
      </c>
      <c r="C5" s="2" t="s">
        <v>24</v>
      </c>
      <c r="D5" s="2" t="s">
        <v>18</v>
      </c>
      <c r="E5" s="2" t="s">
        <v>25</v>
      </c>
      <c r="F5" s="2" t="s">
        <v>25</v>
      </c>
      <c r="G5" s="3">
        <v>10</v>
      </c>
      <c r="H5" s="4">
        <v>554</v>
      </c>
      <c r="I5" s="3">
        <v>5540</v>
      </c>
      <c r="J5" s="5">
        <v>380</v>
      </c>
      <c r="K5" s="6">
        <f t="shared" si="0"/>
        <v>3800</v>
      </c>
      <c r="L5" s="4">
        <f t="shared" si="1"/>
        <v>-174</v>
      </c>
      <c r="M5" s="3">
        <f t="shared" si="2"/>
        <v>-1740</v>
      </c>
      <c r="N5" s="7">
        <v>45873</v>
      </c>
      <c r="O5" s="7">
        <v>45886</v>
      </c>
    </row>
    <row r="6" spans="1:15" x14ac:dyDescent="0.2">
      <c r="A6" s="2" t="s">
        <v>22</v>
      </c>
      <c r="B6" s="2" t="s">
        <v>23</v>
      </c>
      <c r="C6" s="2" t="s">
        <v>24</v>
      </c>
      <c r="D6" s="2" t="s">
        <v>18</v>
      </c>
      <c r="E6" s="2" t="s">
        <v>26</v>
      </c>
      <c r="F6" s="2" t="s">
        <v>26</v>
      </c>
      <c r="G6" s="3">
        <v>10</v>
      </c>
      <c r="H6" s="4">
        <v>5061</v>
      </c>
      <c r="I6" s="3">
        <v>50610</v>
      </c>
      <c r="J6" s="5">
        <v>780</v>
      </c>
      <c r="K6" s="6">
        <f t="shared" si="0"/>
        <v>7800</v>
      </c>
      <c r="L6" s="4">
        <f t="shared" si="1"/>
        <v>-4281</v>
      </c>
      <c r="M6" s="3">
        <f t="shared" si="2"/>
        <v>-42810</v>
      </c>
      <c r="N6" s="7">
        <v>45873</v>
      </c>
      <c r="O6" s="7">
        <v>45886</v>
      </c>
    </row>
    <row r="7" spans="1:15" x14ac:dyDescent="0.2">
      <c r="A7" s="2" t="s">
        <v>22</v>
      </c>
      <c r="B7" s="2" t="s">
        <v>23</v>
      </c>
      <c r="C7" s="2" t="s">
        <v>24</v>
      </c>
      <c r="D7" s="2" t="s">
        <v>18</v>
      </c>
      <c r="E7" s="2" t="s">
        <v>27</v>
      </c>
      <c r="F7" s="2" t="s">
        <v>27</v>
      </c>
      <c r="G7" s="3">
        <v>5</v>
      </c>
      <c r="H7" s="4">
        <v>529</v>
      </c>
      <c r="I7" s="3">
        <v>2645</v>
      </c>
      <c r="J7" s="5">
        <v>0</v>
      </c>
      <c r="K7" s="6">
        <f t="shared" si="0"/>
        <v>0</v>
      </c>
      <c r="L7" s="4">
        <f t="shared" si="1"/>
        <v>-529</v>
      </c>
      <c r="M7" s="3">
        <f t="shared" si="2"/>
        <v>-2645</v>
      </c>
      <c r="N7" s="7">
        <v>45873</v>
      </c>
      <c r="O7" s="7">
        <v>45886</v>
      </c>
    </row>
    <row r="8" spans="1:15" x14ac:dyDescent="0.2">
      <c r="A8" s="2" t="s">
        <v>22</v>
      </c>
      <c r="B8" s="2" t="s">
        <v>23</v>
      </c>
      <c r="C8" s="2" t="s">
        <v>24</v>
      </c>
      <c r="D8" s="2" t="s">
        <v>18</v>
      </c>
      <c r="E8" s="2" t="s">
        <v>28</v>
      </c>
      <c r="F8" s="2" t="s">
        <v>28</v>
      </c>
      <c r="G8" s="3">
        <v>10</v>
      </c>
      <c r="H8" s="4">
        <v>559</v>
      </c>
      <c r="I8" s="3">
        <v>5590</v>
      </c>
      <c r="J8" s="5">
        <v>200</v>
      </c>
      <c r="K8" s="6">
        <f t="shared" si="0"/>
        <v>2000</v>
      </c>
      <c r="L8" s="4">
        <f t="shared" si="1"/>
        <v>-359</v>
      </c>
      <c r="M8" s="3">
        <f t="shared" si="2"/>
        <v>-3590</v>
      </c>
      <c r="N8" s="7">
        <v>45873</v>
      </c>
      <c r="O8" s="7">
        <v>45886</v>
      </c>
    </row>
    <row r="9" spans="1:15" x14ac:dyDescent="0.2">
      <c r="A9" s="2" t="s">
        <v>22</v>
      </c>
      <c r="B9" s="2" t="s">
        <v>23</v>
      </c>
      <c r="C9" s="2" t="s">
        <v>24</v>
      </c>
      <c r="D9" s="2" t="s">
        <v>18</v>
      </c>
      <c r="E9" s="2" t="s">
        <v>29</v>
      </c>
      <c r="F9" s="2" t="s">
        <v>29</v>
      </c>
      <c r="G9" s="3">
        <v>10</v>
      </c>
      <c r="H9" s="4">
        <v>596</v>
      </c>
      <c r="I9" s="3">
        <v>5960</v>
      </c>
      <c r="J9" s="5">
        <v>140</v>
      </c>
      <c r="K9" s="6">
        <f t="shared" si="0"/>
        <v>1400</v>
      </c>
      <c r="L9" s="4">
        <f t="shared" si="1"/>
        <v>-456</v>
      </c>
      <c r="M9" s="3">
        <f t="shared" si="2"/>
        <v>-4560</v>
      </c>
      <c r="N9" s="7">
        <v>45873</v>
      </c>
      <c r="O9" s="7">
        <v>45886</v>
      </c>
    </row>
    <row r="10" spans="1:15" x14ac:dyDescent="0.2">
      <c r="A10" s="2" t="s">
        <v>22</v>
      </c>
      <c r="B10" s="2" t="s">
        <v>23</v>
      </c>
      <c r="C10" s="2" t="s">
        <v>24</v>
      </c>
      <c r="D10" s="2" t="s">
        <v>18</v>
      </c>
      <c r="E10" s="2" t="s">
        <v>30</v>
      </c>
      <c r="F10" s="2" t="s">
        <v>30</v>
      </c>
      <c r="G10" s="3">
        <v>30</v>
      </c>
      <c r="H10" s="4">
        <v>212</v>
      </c>
      <c r="I10" s="3">
        <v>6360</v>
      </c>
      <c r="J10" s="5">
        <v>46</v>
      </c>
      <c r="K10" s="6">
        <f t="shared" si="0"/>
        <v>1380</v>
      </c>
      <c r="L10" s="4">
        <f t="shared" si="1"/>
        <v>-166</v>
      </c>
      <c r="M10" s="3">
        <f t="shared" si="2"/>
        <v>-4980</v>
      </c>
      <c r="N10" s="7">
        <v>45873</v>
      </c>
      <c r="O10" s="7">
        <v>45886</v>
      </c>
    </row>
    <row r="11" spans="1:15" x14ac:dyDescent="0.2">
      <c r="A11" s="2" t="s">
        <v>22</v>
      </c>
      <c r="B11" s="2" t="s">
        <v>23</v>
      </c>
      <c r="C11" s="2" t="s">
        <v>24</v>
      </c>
      <c r="D11" s="2" t="s">
        <v>18</v>
      </c>
      <c r="E11" s="2" t="s">
        <v>31</v>
      </c>
      <c r="F11" s="2" t="s">
        <v>31</v>
      </c>
      <c r="G11" s="3">
        <v>30</v>
      </c>
      <c r="H11" s="4">
        <v>61</v>
      </c>
      <c r="I11" s="3">
        <v>1830</v>
      </c>
      <c r="J11" s="5">
        <v>0</v>
      </c>
      <c r="K11" s="6">
        <f t="shared" si="0"/>
        <v>0</v>
      </c>
      <c r="L11" s="4">
        <f t="shared" si="1"/>
        <v>-61</v>
      </c>
      <c r="M11" s="3">
        <f t="shared" si="2"/>
        <v>-1830</v>
      </c>
      <c r="N11" s="7">
        <v>45873</v>
      </c>
      <c r="O11" s="7">
        <v>45886</v>
      </c>
    </row>
    <row r="12" spans="1:15" x14ac:dyDescent="0.2">
      <c r="A12" s="2" t="s">
        <v>22</v>
      </c>
      <c r="B12" s="2" t="s">
        <v>23</v>
      </c>
      <c r="C12" s="2" t="s">
        <v>24</v>
      </c>
      <c r="D12" s="2" t="s">
        <v>18</v>
      </c>
      <c r="E12" s="2" t="s">
        <v>32</v>
      </c>
      <c r="F12" s="2" t="s">
        <v>32</v>
      </c>
      <c r="G12" s="3">
        <v>30</v>
      </c>
      <c r="H12" s="4">
        <v>45</v>
      </c>
      <c r="I12" s="3">
        <v>1350</v>
      </c>
      <c r="J12" s="5">
        <v>0</v>
      </c>
      <c r="K12" s="6">
        <f t="shared" si="0"/>
        <v>0</v>
      </c>
      <c r="L12" s="4">
        <f t="shared" si="1"/>
        <v>-45</v>
      </c>
      <c r="M12" s="3">
        <f t="shared" si="2"/>
        <v>-1350</v>
      </c>
      <c r="N12" s="7">
        <v>45873</v>
      </c>
      <c r="O12" s="7">
        <v>45886</v>
      </c>
    </row>
    <row r="13" spans="1:15" x14ac:dyDescent="0.2">
      <c r="A13" s="2" t="s">
        <v>22</v>
      </c>
      <c r="B13" s="2" t="s">
        <v>23</v>
      </c>
      <c r="C13" s="2" t="s">
        <v>24</v>
      </c>
      <c r="D13" s="2" t="s">
        <v>18</v>
      </c>
      <c r="E13" s="2" t="s">
        <v>33</v>
      </c>
      <c r="F13" s="2" t="s">
        <v>33</v>
      </c>
      <c r="G13" s="3">
        <v>80</v>
      </c>
      <c r="H13" s="4">
        <v>754</v>
      </c>
      <c r="I13" s="3">
        <v>60320</v>
      </c>
      <c r="J13" s="5">
        <v>140</v>
      </c>
      <c r="K13" s="6">
        <f t="shared" si="0"/>
        <v>11200</v>
      </c>
      <c r="L13" s="4">
        <f t="shared" si="1"/>
        <v>-614</v>
      </c>
      <c r="M13" s="3">
        <f t="shared" si="2"/>
        <v>-49120</v>
      </c>
      <c r="N13" s="7">
        <v>45873</v>
      </c>
      <c r="O13" s="7">
        <v>45886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2025-08-11T20:58:28Z</dcterms:created>
  <dcterms:modified xsi:type="dcterms:W3CDTF">2025-08-14T13:48:49Z</dcterms:modified>
</cp:coreProperties>
</file>