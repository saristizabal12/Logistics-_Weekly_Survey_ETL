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Vitel W20 Survey SD Promotions\"/>
    </mc:Choice>
  </mc:AlternateContent>
  <xr:revisionPtr revIDLastSave="0" documentId="13_ncr:1_{483DEEEB-F7D9-4ED9-B3CB-167A6E0302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Sheet1!$A$1:$O$14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L2" i="1"/>
  <c r="K14" i="1"/>
  <c r="K13" i="1"/>
  <c r="K12" i="1"/>
  <c r="K11" i="1"/>
  <c r="K10" i="1"/>
  <c r="K9" i="1"/>
  <c r="K8" i="1"/>
  <c r="M8" i="1" s="1"/>
  <c r="K7" i="1"/>
  <c r="M7" i="1" s="1"/>
  <c r="K6" i="1"/>
  <c r="M6" i="1" s="1"/>
  <c r="K5" i="1"/>
  <c r="M5" i="1" s="1"/>
  <c r="K4" i="1"/>
  <c r="M4" i="1" s="1"/>
  <c r="K3" i="1"/>
  <c r="K2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M2" i="1" l="1"/>
  <c r="M3" i="1"/>
  <c r="M14" i="1"/>
  <c r="M12" i="1"/>
  <c r="M13" i="1"/>
  <c r="M9" i="1"/>
  <c r="M10" i="1"/>
  <c r="M11" i="1"/>
</calcChain>
</file>

<file path=xl/sharedStrings.xml><?xml version="1.0" encoding="utf-8"?>
<sst xmlns="http://schemas.openxmlformats.org/spreadsheetml/2006/main" count="91" uniqueCount="33">
  <si>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</si>
  <si>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</si>
  <si>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</si>
  <si>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</si>
  <si>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</si>
  <si>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</si>
  <si>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Quantity</t>
  </si>
  <si>
    <t>Accrual Price</t>
  </si>
  <si>
    <t>Accrual Amt(T)</t>
  </si>
  <si>
    <t>Start Date of Condition</t>
  </si>
  <si>
    <t>End Date of Condition</t>
  </si>
  <si>
    <t>G-S24-ULTRA</t>
  </si>
  <si>
    <t>G-S25</t>
  </si>
  <si>
    <t>G-S25-ULTRA</t>
  </si>
  <si>
    <t>VITEL MOBILE, INC.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</si>
  <si>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</si>
  <si>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</si>
  <si>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</si>
  <si>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</si>
  <si>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</si>
  <si>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</si>
  <si>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G-A26-5G</t>
  </si>
  <si>
    <t>G-A36-5G</t>
  </si>
  <si>
    <t>G-A56-5G</t>
  </si>
  <si>
    <t>G-S25+</t>
  </si>
  <si>
    <t>A2S3A0A250000187</t>
  </si>
  <si>
    <t>A0S3A0A250000541</t>
  </si>
  <si>
    <t>VITEL W20 Galaxy A56 &amp; A36 Sell-Thru Promotion</t>
  </si>
  <si>
    <t>A0S3A0A250000566</t>
  </si>
  <si>
    <t>A2S3A0A250000193</t>
  </si>
  <si>
    <t>W20-W21 MX Sell-Thru Promotion (Cutting to W20 &amp; Restarting W21)</t>
  </si>
  <si>
    <t>TO-BE Target</t>
  </si>
  <si>
    <t>TO-BE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</si>
</sst>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,###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0" fontId="2" fillId="0" borderId="1" xfId="0" applyFont="1" applyBorder="1"/>
    <xf numFmtId="4" fontId="0" fillId="4" borderId="1" xfId="0" applyNumberFormat="1" applyFill="1" applyBorder="1"/>
    <xf numFmtId="165" fontId="0" fillId="4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2.75" x14ac:dyDescent="0.2"/>
  <cols>
    <col min="1" max="1" width="22.42578125" bestFit="1" customWidth="1"/>
    <col min="2" max="2" width="65.85546875" bestFit="1" customWidth="1"/>
    <col min="3" max="3" width="28" hidden="1" customWidth="1"/>
    <col min="4" max="4" width="25.140625" hidden="1" customWidth="1"/>
    <col min="5" max="5" width="16" bestFit="1" customWidth="1"/>
    <col min="6" max="6" width="33" bestFit="1" customWidth="1"/>
    <col min="7" max="7" width="13.140625" bestFit="1" customWidth="1"/>
    <col min="8" max="8" width="16.28515625" bestFit="1" customWidth="1"/>
    <col min="9" max="9" width="14.7109375" bestFit="1" customWidth="1"/>
    <col min="10" max="13" width="14.7109375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31</v>
      </c>
      <c r="K1" s="1" t="s">
        <v>32</v>
      </c>
      <c r="L1" s="1"/>
      <c r="M1" s="1"/>
      <c r="N1" s="1" t="s">
        <v>9</v>
      </c>
      <c r="O1" s="1" t="s">
        <v>10</v>
      </c>
    </row>
    <row r="2" spans="1:15" x14ac:dyDescent="0.2">
      <c r="A2" s="2" t="s">
        <v>26</v>
      </c>
      <c r="B2" s="2" t="s">
        <v>27</v>
      </c>
      <c r="C2" s="2" t="s">
        <v>25</v>
      </c>
      <c r="D2" s="2" t="s">
        <v>14</v>
      </c>
      <c r="E2" s="2" t="s">
        <v>22</v>
      </c>
      <c r="F2" s="2" t="s">
        <v>22</v>
      </c>
      <c r="G2" s="6">
        <v>12.5</v>
      </c>
      <c r="H2" s="7">
        <v>190</v>
      </c>
      <c r="I2" s="6">
        <f>G2*H2</f>
        <v>2375</v>
      </c>
      <c r="J2" s="8">
        <v>190</v>
      </c>
      <c r="K2" s="4">
        <f>J2*G2</f>
        <v>2375</v>
      </c>
      <c r="L2" s="6">
        <f>J2*H2</f>
        <v>36100</v>
      </c>
      <c r="M2" s="6">
        <f>K2*I2</f>
        <v>5640625</v>
      </c>
      <c r="N2" s="3">
        <v>45789</v>
      </c>
      <c r="O2" s="3">
        <v>45795</v>
      </c>
    </row>
    <row r="3" spans="1:15" x14ac:dyDescent="0.2">
      <c r="A3" s="2" t="s">
        <v>26</v>
      </c>
      <c r="B3" s="2" t="s">
        <v>27</v>
      </c>
      <c r="C3" s="2" t="s">
        <v>25</v>
      </c>
      <c r="D3" s="2" t="s">
        <v>14</v>
      </c>
      <c r="E3" s="2" t="s">
        <v>23</v>
      </c>
      <c r="F3" s="2" t="s">
        <v>23</v>
      </c>
      <c r="G3" s="6">
        <v>12.5</v>
      </c>
      <c r="H3" s="7">
        <v>5</v>
      </c>
      <c r="I3" s="6">
        <f>G3*H3</f>
        <v>62.5</v>
      </c>
      <c r="J3" s="8">
        <v>5</v>
      </c>
      <c r="K3" s="4">
        <f>J3*G3</f>
        <v>62.5</v>
      </c>
      <c r="L3" s="6">
        <f>J3*H3</f>
        <v>25</v>
      </c>
      <c r="M3" s="6">
        <f>K3*I3</f>
        <v>3906.25</v>
      </c>
      <c r="N3" s="3">
        <v>45789</v>
      </c>
      <c r="O3" s="3">
        <v>45795</v>
      </c>
    </row>
    <row r="4" spans="1:15" x14ac:dyDescent="0.2">
      <c r="A4" s="2" t="s">
        <v>28</v>
      </c>
      <c r="B4" s="5" t="s">
        <v>30</v>
      </c>
      <c r="C4" s="2" t="s">
        <v>29</v>
      </c>
      <c r="D4" s="2" t="s">
        <v>14</v>
      </c>
      <c r="E4" s="2" t="s">
        <v>21</v>
      </c>
      <c r="F4" s="2" t="s">
        <v>21</v>
      </c>
      <c r="G4" s="6">
        <v>20</v>
      </c>
      <c r="H4" s="7">
        <v>635</v>
      </c>
      <c r="I4" s="6">
        <f>G4*H4</f>
        <v>12700</v>
      </c>
      <c r="J4" s="8">
        <v>946</v>
      </c>
      <c r="K4" s="4">
        <f>J4*G4</f>
        <v>18920</v>
      </c>
      <c r="L4" s="6">
        <f>J4*H4</f>
        <v>600710</v>
      </c>
      <c r="M4" s="6">
        <f>K4*I4</f>
        <v>240284000</v>
      </c>
      <c r="N4" s="3">
        <v>45789</v>
      </c>
      <c r="O4" s="3">
        <v>45802</v>
      </c>
    </row>
    <row r="5" spans="1:15" x14ac:dyDescent="0.2">
      <c r="A5" s="2" t="s">
        <v>28</v>
      </c>
      <c r="B5" s="5" t="s">
        <v>30</v>
      </c>
      <c r="C5" s="2" t="s">
        <v>29</v>
      </c>
      <c r="D5" s="2" t="s">
        <v>14</v>
      </c>
      <c r="E5" s="2" t="s">
        <v>22</v>
      </c>
      <c r="F5" s="2" t="s">
        <v>22</v>
      </c>
      <c r="G5" s="6">
        <v>10</v>
      </c>
      <c r="H5" s="7">
        <v>487</v>
      </c>
      <c r="I5" s="6">
        <f>G5*H5</f>
        <v>4870</v>
      </c>
      <c r="J5" s="8">
        <v>450</v>
      </c>
      <c r="K5" s="4">
        <f>J5*G5</f>
        <v>4500</v>
      </c>
      <c r="L5" s="6">
        <f>J5*H5</f>
        <v>219150</v>
      </c>
      <c r="M5" s="6">
        <f>K5*I5</f>
        <v>21915000</v>
      </c>
      <c r="N5" s="3">
        <v>45789</v>
      </c>
      <c r="O5" s="3">
        <v>45802</v>
      </c>
    </row>
    <row r="6" spans="1:15" x14ac:dyDescent="0.2">
      <c r="A6" s="2" t="s">
        <v>28</v>
      </c>
      <c r="B6" s="5" t="s">
        <v>30</v>
      </c>
      <c r="C6" s="2" t="s">
        <v>29</v>
      </c>
      <c r="D6" s="2" t="s">
        <v>14</v>
      </c>
      <c r="E6" s="2" t="s">
        <v>23</v>
      </c>
      <c r="F6" s="2" t="s">
        <v>23</v>
      </c>
      <c r="G6" s="6">
        <v>10</v>
      </c>
      <c r="H6" s="7">
        <v>541</v>
      </c>
      <c r="I6" s="6">
        <f>G6*H6</f>
        <v>5410</v>
      </c>
      <c r="J6" s="8">
        <v>155</v>
      </c>
      <c r="K6" s="4">
        <f>J6*G6</f>
        <v>1550</v>
      </c>
      <c r="L6" s="6">
        <f>J6*H6</f>
        <v>83855</v>
      </c>
      <c r="M6" s="6">
        <f>K6*I6</f>
        <v>8385500</v>
      </c>
      <c r="N6" s="3">
        <v>45789</v>
      </c>
      <c r="O6" s="3">
        <v>45802</v>
      </c>
    </row>
    <row r="7" spans="1:15" x14ac:dyDescent="0.2">
      <c r="A7" s="2" t="s">
        <v>28</v>
      </c>
      <c r="B7" s="5" t="s">
        <v>30</v>
      </c>
      <c r="C7" s="2" t="s">
        <v>29</v>
      </c>
      <c r="D7" s="2" t="s">
        <v>14</v>
      </c>
      <c r="E7" s="2" t="s">
        <v>15</v>
      </c>
      <c r="F7" s="2" t="s">
        <v>15</v>
      </c>
      <c r="G7" s="6">
        <v>10</v>
      </c>
      <c r="H7" s="7">
        <v>37</v>
      </c>
      <c r="I7" s="6">
        <f>G7*H7</f>
        <v>370</v>
      </c>
      <c r="J7" s="8">
        <v>0</v>
      </c>
      <c r="K7" s="4">
        <f>J7*G7</f>
        <v>0</v>
      </c>
      <c r="L7" s="6">
        <f>J7*H7</f>
        <v>0</v>
      </c>
      <c r="M7" s="6">
        <f>K7*I7</f>
        <v>0</v>
      </c>
      <c r="N7" s="3">
        <v>45789</v>
      </c>
      <c r="O7" s="3">
        <v>45802</v>
      </c>
    </row>
    <row r="8" spans="1:15" x14ac:dyDescent="0.2">
      <c r="A8" s="2" t="s">
        <v>28</v>
      </c>
      <c r="B8" s="5" t="s">
        <v>30</v>
      </c>
      <c r="C8" s="2" t="s">
        <v>29</v>
      </c>
      <c r="D8" s="2" t="s">
        <v>14</v>
      </c>
      <c r="E8" s="2" t="s">
        <v>16</v>
      </c>
      <c r="F8" s="2" t="s">
        <v>16</v>
      </c>
      <c r="G8" s="6">
        <v>10</v>
      </c>
      <c r="H8" s="7">
        <v>167</v>
      </c>
      <c r="I8" s="6">
        <f>G8*H8</f>
        <v>1670</v>
      </c>
      <c r="J8" s="8">
        <v>0</v>
      </c>
      <c r="K8" s="4">
        <f>J8*G8</f>
        <v>0</v>
      </c>
      <c r="L8" s="6">
        <f>J8*H8</f>
        <v>0</v>
      </c>
      <c r="M8" s="6">
        <f>K8*I8</f>
        <v>0</v>
      </c>
      <c r="N8" s="3">
        <v>45789</v>
      </c>
      <c r="O8" s="3">
        <v>45802</v>
      </c>
    </row>
    <row r="9" spans="1:15" x14ac:dyDescent="0.2">
      <c r="A9" s="2" t="s">
        <v>28</v>
      </c>
      <c r="B9" s="5" t="s">
        <v>30</v>
      </c>
      <c r="C9" s="2" t="s">
        <v>29</v>
      </c>
      <c r="D9" s="2" t="s">
        <v>14</v>
      </c>
      <c r="E9" s="2" t="s">
        <v>11</v>
      </c>
      <c r="F9" s="2" t="s">
        <v>11</v>
      </c>
      <c r="G9" s="6">
        <v>30</v>
      </c>
      <c r="H9" s="7">
        <v>324</v>
      </c>
      <c r="I9" s="6">
        <f>G9*H9</f>
        <v>9720</v>
      </c>
      <c r="J9" s="8">
        <v>802</v>
      </c>
      <c r="K9" s="4">
        <f>J9*G9</f>
        <v>24060</v>
      </c>
      <c r="L9" s="6">
        <f>J9*H9</f>
        <v>259848</v>
      </c>
      <c r="M9" s="6">
        <f>K9*I9</f>
        <v>233863200</v>
      </c>
      <c r="N9" s="3">
        <v>45789</v>
      </c>
      <c r="O9" s="3">
        <v>45802</v>
      </c>
    </row>
    <row r="10" spans="1:15" x14ac:dyDescent="0.2">
      <c r="A10" s="2" t="s">
        <v>28</v>
      </c>
      <c r="B10" s="5" t="s">
        <v>30</v>
      </c>
      <c r="C10" s="2" t="s">
        <v>29</v>
      </c>
      <c r="D10" s="2" t="s">
        <v>14</v>
      </c>
      <c r="E10" s="2" t="s">
        <v>12</v>
      </c>
      <c r="F10" s="2" t="s">
        <v>12</v>
      </c>
      <c r="G10" s="6">
        <v>30</v>
      </c>
      <c r="H10" s="7">
        <v>67</v>
      </c>
      <c r="I10" s="6">
        <f>G10*H10</f>
        <v>2010</v>
      </c>
      <c r="J10" s="8">
        <v>0</v>
      </c>
      <c r="K10" s="4">
        <f>J10*G10</f>
        <v>0</v>
      </c>
      <c r="L10" s="6">
        <f>J10*H10</f>
        <v>0</v>
      </c>
      <c r="M10" s="6">
        <f>K10*I10</f>
        <v>0</v>
      </c>
      <c r="N10" s="3">
        <v>45789</v>
      </c>
      <c r="O10" s="3">
        <v>45802</v>
      </c>
    </row>
    <row r="11" spans="1:15" x14ac:dyDescent="0.2">
      <c r="A11" s="2" t="s">
        <v>28</v>
      </c>
      <c r="B11" s="5" t="s">
        <v>30</v>
      </c>
      <c r="C11" s="2" t="s">
        <v>29</v>
      </c>
      <c r="D11" s="2" t="s">
        <v>14</v>
      </c>
      <c r="E11" s="2" t="s">
        <v>24</v>
      </c>
      <c r="F11" s="2" t="s">
        <v>24</v>
      </c>
      <c r="G11" s="6">
        <v>30</v>
      </c>
      <c r="H11" s="7">
        <v>55</v>
      </c>
      <c r="I11" s="6">
        <f>G11*H11</f>
        <v>1650</v>
      </c>
      <c r="J11" s="8">
        <v>0</v>
      </c>
      <c r="K11" s="4">
        <f>J11*G11</f>
        <v>0</v>
      </c>
      <c r="L11" s="6">
        <f>J11*H11</f>
        <v>0</v>
      </c>
      <c r="M11" s="6">
        <f>K11*I11</f>
        <v>0</v>
      </c>
      <c r="N11" s="3">
        <v>45789</v>
      </c>
      <c r="O11" s="3">
        <v>45802</v>
      </c>
    </row>
    <row r="12" spans="1:15" x14ac:dyDescent="0.2">
      <c r="A12" s="2" t="s">
        <v>28</v>
      </c>
      <c r="B12" s="5" t="s">
        <v>30</v>
      </c>
      <c r="C12" s="2" t="s">
        <v>29</v>
      </c>
      <c r="D12" s="2" t="s">
        <v>14</v>
      </c>
      <c r="E12" s="2" t="s">
        <v>13</v>
      </c>
      <c r="F12" s="2" t="s">
        <v>13</v>
      </c>
      <c r="G12" s="6">
        <v>30</v>
      </c>
      <c r="H12" s="7">
        <v>395</v>
      </c>
      <c r="I12" s="6">
        <f>G12*H12</f>
        <v>11850</v>
      </c>
      <c r="J12" s="8">
        <v>351</v>
      </c>
      <c r="K12" s="4">
        <f>J12*G12</f>
        <v>10530</v>
      </c>
      <c r="L12" s="6">
        <f>J12*H12</f>
        <v>138645</v>
      </c>
      <c r="M12" s="6">
        <f>K12*I12</f>
        <v>124780500</v>
      </c>
      <c r="N12" s="3">
        <v>45789</v>
      </c>
      <c r="O12" s="3">
        <v>45802</v>
      </c>
    </row>
    <row r="13" spans="1:15" x14ac:dyDescent="0.2">
      <c r="A13" s="2" t="s">
        <v>28</v>
      </c>
      <c r="B13" s="5" t="s">
        <v>30</v>
      </c>
      <c r="C13" s="2" t="s">
        <v>29</v>
      </c>
      <c r="D13" s="2" t="s">
        <v>14</v>
      </c>
      <c r="E13" s="2" t="s">
        <v>17</v>
      </c>
      <c r="F13" s="2" t="s">
        <v>18</v>
      </c>
      <c r="G13" s="6">
        <v>7</v>
      </c>
      <c r="H13" s="7">
        <v>65</v>
      </c>
      <c r="I13" s="6">
        <f>G13*H13</f>
        <v>455</v>
      </c>
      <c r="J13" s="8">
        <v>0</v>
      </c>
      <c r="K13" s="4">
        <f>J13*G13</f>
        <v>0</v>
      </c>
      <c r="L13" s="6">
        <f>J13*H13</f>
        <v>0</v>
      </c>
      <c r="M13" s="6">
        <f>K13*I13</f>
        <v>0</v>
      </c>
      <c r="N13" s="3">
        <v>45789</v>
      </c>
      <c r="O13" s="3">
        <v>45802</v>
      </c>
    </row>
    <row r="14" spans="1:15" x14ac:dyDescent="0.2">
      <c r="A14" s="2" t="s">
        <v>28</v>
      </c>
      <c r="B14" s="5" t="s">
        <v>30</v>
      </c>
      <c r="C14" s="2" t="s">
        <v>29</v>
      </c>
      <c r="D14" s="2" t="s">
        <v>14</v>
      </c>
      <c r="E14" s="2" t="s">
        <v>19</v>
      </c>
      <c r="F14" s="2" t="s">
        <v>20</v>
      </c>
      <c r="G14" s="6">
        <v>7</v>
      </c>
      <c r="H14" s="7">
        <v>89</v>
      </c>
      <c r="I14" s="6">
        <f>G14*H14</f>
        <v>623</v>
      </c>
      <c r="J14" s="8">
        <v>0</v>
      </c>
      <c r="K14" s="4">
        <f>J14*G14</f>
        <v>0</v>
      </c>
      <c r="L14" s="6">
        <f>J14*H14</f>
        <v>0</v>
      </c>
      <c r="M14" s="6">
        <f>K14*I14</f>
        <v>0</v>
      </c>
      <c r="N14" s="3">
        <v>45789</v>
      </c>
      <c r="O14" s="3">
        <v>45802</v>
      </c>
    </row>
  </sheetData>
  <autoFilter ref="A1:O14" xr:uid="{00000000-0001-0000-0000-000000000000}">
    <sortState xmlns:xlrd2="http://schemas.microsoft.com/office/spreadsheetml/2017/richdata2" ref="A2:O14">
      <sortCondition ref="B1:B14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2025-05-14T20:36:43Z</dcterms:created>
  <dcterms:modified xsi:type="dcterms:W3CDTF">2025-05-15T18:35:25Z</dcterms:modified>
  <cp:category/>
</cp:coreProperties>
</file>