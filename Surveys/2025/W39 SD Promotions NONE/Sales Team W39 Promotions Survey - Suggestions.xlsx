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9 SD Promotions NONE\"/>
    </mc:Choice>
  </mc:AlternateContent>
  <xr:revisionPtr revIDLastSave="0" documentId="13_ncr:1_{66F6845A-1086-4FFD-A8A1-9FD1DFC07DD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GGESTED " sheetId="12" r:id="rId1"/>
  </sheets>
  <definedNames>
    <definedName name="_xlnm._FilterDatabase" localSheetId="0" hidden="1">'SUGGESTED '!$A$1:$N$4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2" l="1"/>
  <c r="Q2" i="12"/>
  <c r="J4" i="12"/>
  <c r="K4" i="12" s="1"/>
  <c r="J3" i="12"/>
  <c r="L3" i="12" s="1"/>
  <c r="J2" i="12"/>
  <c r="K2" i="12" s="1"/>
  <c r="M3" i="12" l="1"/>
  <c r="N3" i="12" s="1"/>
  <c r="L4" i="12"/>
  <c r="M4" i="12" s="1"/>
  <c r="N4" i="12" s="1"/>
  <c r="K3" i="12"/>
  <c r="L2" i="12"/>
  <c r="R2" i="12" l="1"/>
  <c r="M2" i="12"/>
  <c r="N2" i="12" s="1"/>
</calcChain>
</file>

<file path=xl/sharedStrings.xml><?xml version="1.0" encoding="utf-8"?>
<sst xmlns="http://schemas.openxmlformats.org/spreadsheetml/2006/main" count="27" uniqueCount="19">
  <si>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</si>
  <si>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</si>
  <si>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</si>
  <si>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</si>
  <si>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</si>
  <si>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</si>
  <si>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</si>
  <si>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</si>
  <si>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</si>
  <si>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</si>
  <si>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</si>
  <si>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</si>
  <si>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</si>
  <si>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G-Z-FLIP7-FE</t>
  </si>
  <si>
    <t>G-Z-FLIP7</t>
  </si>
  <si>
    <t>G-Z-FOLD7</t>
  </si>
  <si>
    <t>VITEL W38-W40 Foldables Series ST</t>
  </si>
  <si>
    <t>A0S3A0A250000936</t>
  </si>
  <si>
    <t>0936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</si>
</sst>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1" fontId="0" fillId="4" borderId="1" xfId="0" applyNumberFormat="1" applyFill="1" applyBorder="1"/>
    <xf numFmtId="0" fontId="0" fillId="6" borderId="1" xfId="0" applyFill="1" applyBorder="1"/>
    <xf numFmtId="0" fontId="1" fillId="6" borderId="1" xfId="0" applyFon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4C25-6CEF-4A70-8F2E-9C1D1F4638B8}">
  <dimension ref="A1:S4"/>
  <sheetViews>
    <sheetView showGridLines="0" tabSelected="1" zoomScale="85" zoomScaleNormal="85" workbookViewId="0">
      <pane ySplit="1" topLeftCell="A2" activePane="bottomLeft" state="frozen"/>
      <selection pane="bottomLeft" activeCell="J5" sqref="J5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19" width="11.285156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S1" s="11" t="s">
        <v>18</v>
      </c>
    </row>
    <row r="2" spans="1:19" ht="18" customHeight="1" x14ac:dyDescent="0.2">
      <c r="A2" s="14" t="s">
        <v>17</v>
      </c>
      <c r="B2" s="14" t="s">
        <v>16</v>
      </c>
      <c r="C2" s="14" t="s">
        <v>13</v>
      </c>
      <c r="D2" s="14" t="s">
        <v>13</v>
      </c>
      <c r="E2" s="2">
        <v>80</v>
      </c>
      <c r="F2" s="13">
        <v>205</v>
      </c>
      <c r="G2" s="2">
        <v>19840</v>
      </c>
      <c r="H2" s="3">
        <v>110</v>
      </c>
      <c r="I2" s="3"/>
      <c r="J2" s="3">
        <f t="shared" ref="J2:J4" si="0">H2+I2</f>
        <v>110</v>
      </c>
      <c r="K2" s="3">
        <f t="shared" ref="K2:K4" si="1">F2-J2</f>
        <v>95</v>
      </c>
      <c r="L2" s="4">
        <f t="shared" ref="L2:L4" si="2">J2*E2</f>
        <v>8800</v>
      </c>
      <c r="M2" s="4">
        <f t="shared" ref="M2:M4" si="3">G2-L2</f>
        <v>11040</v>
      </c>
      <c r="N2" s="15" t="str">
        <f t="shared" ref="N2:N4" si="4">IF(M2&gt;0,"KEEP SELLING", "DO NOT SELL")</f>
        <v>KEEP SELLING</v>
      </c>
      <c r="Q2" s="10">
        <f>SUM(G2:G4)</f>
        <v>59440</v>
      </c>
      <c r="R2" s="9">
        <f>SUM(L2:L4)</f>
        <v>19550</v>
      </c>
      <c r="S2" s="12">
        <f>Q2-R2</f>
        <v>39890</v>
      </c>
    </row>
    <row r="3" spans="1:19" ht="18" customHeight="1" x14ac:dyDescent="0.2">
      <c r="A3" s="14" t="s">
        <v>17</v>
      </c>
      <c r="B3" s="14" t="s">
        <v>16</v>
      </c>
      <c r="C3" s="14" t="s">
        <v>14</v>
      </c>
      <c r="D3" s="14" t="s">
        <v>14</v>
      </c>
      <c r="E3" s="2">
        <v>50</v>
      </c>
      <c r="F3" s="13">
        <v>449</v>
      </c>
      <c r="G3" s="2">
        <v>26200</v>
      </c>
      <c r="H3" s="3">
        <v>29</v>
      </c>
      <c r="I3" s="3">
        <v>36</v>
      </c>
      <c r="J3" s="3">
        <f t="shared" si="0"/>
        <v>65</v>
      </c>
      <c r="K3" s="3">
        <f t="shared" si="1"/>
        <v>384</v>
      </c>
      <c r="L3" s="4">
        <f t="shared" si="2"/>
        <v>3250</v>
      </c>
      <c r="M3" s="4">
        <f t="shared" si="3"/>
        <v>22950</v>
      </c>
      <c r="N3" s="15" t="str">
        <f t="shared" si="4"/>
        <v>KEEP SELLING</v>
      </c>
      <c r="Q3" s="10"/>
      <c r="R3" s="9"/>
    </row>
    <row r="4" spans="1:19" ht="18" customHeight="1" x14ac:dyDescent="0.2">
      <c r="A4" s="14" t="s">
        <v>17</v>
      </c>
      <c r="B4" s="14" t="s">
        <v>16</v>
      </c>
      <c r="C4" s="14" t="s">
        <v>15</v>
      </c>
      <c r="D4" s="14" t="s">
        <v>15</v>
      </c>
      <c r="E4" s="2">
        <v>100</v>
      </c>
      <c r="F4" s="13">
        <v>250</v>
      </c>
      <c r="G4" s="2">
        <v>13400</v>
      </c>
      <c r="H4" s="3">
        <v>69</v>
      </c>
      <c r="I4" s="3">
        <v>6</v>
      </c>
      <c r="J4" s="3">
        <f t="shared" si="0"/>
        <v>75</v>
      </c>
      <c r="K4" s="3">
        <f t="shared" si="1"/>
        <v>175</v>
      </c>
      <c r="L4" s="4">
        <f t="shared" si="2"/>
        <v>7500</v>
      </c>
      <c r="M4" s="4">
        <f t="shared" si="3"/>
        <v>5900</v>
      </c>
      <c r="N4" s="15" t="str">
        <f t="shared" si="4"/>
        <v>KEEP SELLING</v>
      </c>
      <c r="Q4" s="10"/>
      <c r="R4" s="9"/>
    </row>
  </sheetData>
  <autoFilter ref="A1:N4" xr:uid="{A56C30C6-035E-4162-8461-0B4DCCC8AFF9}">
    <sortState xmlns:xlrd2="http://schemas.microsoft.com/office/spreadsheetml/2017/richdata2" ref="A2:N4">
      <sortCondition ref="A1:A4"/>
    </sortState>
  </autoFilter>
  <conditionalFormatting sqref="H2:I4 K2:N4">
    <cfRule type="cellIs" dxfId="2" priority="1" operator="lessThan">
      <formula>0</formula>
    </cfRule>
  </conditionalFormatting>
  <conditionalFormatting sqref="N1:N4 N6:N1048576">
    <cfRule type="containsText" dxfId="1" priority="5" operator="containsText" text="DO NOT SELL">
      <formula>NOT(ISERROR(SEARCH("DO NOT SELL",N1)))</formula>
    </cfRule>
    <cfRule type="containsText" dxfId="0" priority="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SUGGESTED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2025-09-26T15:07:46Z</dcterms:modified>
  <cp:category/>
  <cp:contentStatus/>
</cp:coreProperties>
</file>