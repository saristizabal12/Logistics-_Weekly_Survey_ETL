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1 Survey SD Promotions\"/>
    </mc:Choice>
  </mc:AlternateContent>
  <xr:revisionPtr revIDLastSave="0" documentId="13_ncr:1_{8C37AD9E-3E81-4384-97D9-20F733479A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<sst xmlns="http://schemas.openxmlformats.org/spreadsheetml/2006/main" count="93" uniqueCount="34">
  <si>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</si>
  <si>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</si>
  <si>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</si>
  <si>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</si>
  <si>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</si>
  <si>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</si>
  <si>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</si>
  <si>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</si>
  <si>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</si>
  <si>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G-S25+</t>
  </si>
  <si>
    <t>G-A36-5G</t>
  </si>
  <si>
    <t>G-A56-5G</t>
  </si>
  <si>
    <t>VITEL MOBILE, INC.</t>
  </si>
  <si>
    <t>G-A16</t>
  </si>
  <si>
    <t>G-A16-5G</t>
  </si>
  <si>
    <t>G-S24</t>
  </si>
  <si>
    <t>G-S24+</t>
  </si>
  <si>
    <t>G-S24-ULTRA</t>
  </si>
  <si>
    <t>G-S25-ULTRA</t>
  </si>
  <si>
    <t>SM-M556BLGMTPA</t>
  </si>
  <si>
    <t>MOBILE,SM-M556B/DS,LIGHT GREEN,TPA</t>
  </si>
  <si>
    <t>SM-M556BZKMTPA</t>
  </si>
  <si>
    <t>MOBILE,SM-M556B/DS,BLACK,TPA</t>
  </si>
  <si>
    <t>G-A26-5G</t>
  </si>
  <si>
    <t>A2S3A0A250000191</t>
  </si>
  <si>
    <t>A0S3A0A250000556</t>
  </si>
  <si>
    <t>VITEL W20-W21 NRM Sell-Thru Promotion</t>
  </si>
  <si>
    <t>Incentive</t>
  </si>
  <si>
    <t>AS-IS Qty</t>
  </si>
  <si>
    <t>AS-IS Amt($)</t>
  </si>
  <si>
    <t>DELTA Qty</t>
  </si>
  <si>
    <t>DELTA Amt($)</t>
  </si>
  <si>
    <t>TO-BE Qty</t>
  </si>
  <si>
    <t>TO-BE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</si>
</sst>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0" borderId="0" xfId="0" applyNumberFormat="1"/>
    <xf numFmtId="3" fontId="0" fillId="4" borderId="1" xfId="0" applyNumberFormat="1" applyFill="1" applyBorder="1"/>
    <xf numFmtId="8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zoomScale="190" zoomScaleNormal="19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2.42578125" bestFit="1" customWidth="1"/>
    <col min="2" max="2" width="37.42578125" bestFit="1" customWidth="1"/>
    <col min="3" max="3" width="28" bestFit="1" customWidth="1"/>
    <col min="4" max="4" width="27.85546875" bestFit="1" customWidth="1"/>
    <col min="5" max="5" width="16" bestFit="1" customWidth="1"/>
    <col min="6" max="6" width="33" bestFit="1" customWidth="1"/>
    <col min="7" max="7" width="10.42578125" customWidth="1"/>
    <col min="8" max="8" width="10.42578125" style="6" customWidth="1"/>
    <col min="9" max="9" width="13.140625" customWidth="1"/>
    <col min="10" max="10" width="11.140625" style="6" customWidth="1"/>
    <col min="11" max="11" width="13.85546875" customWidth="1"/>
    <col min="12" max="12" width="11.42578125" style="6" customWidth="1"/>
    <col min="13" max="13" width="14.140625" customWidth="1"/>
    <col min="14" max="14" width="21.5703125" customWidth="1"/>
    <col min="15" max="15" width="20.5703125" customWidth="1"/>
    <col min="16" max="16" width="9.1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29</v>
      </c>
      <c r="J1" s="1" t="s">
        <v>32</v>
      </c>
      <c r="K1" s="1" t="s">
        <v>33</v>
      </c>
      <c r="L1" s="1" t="s">
        <v>30</v>
      </c>
      <c r="M1" s="1" t="s">
        <v>31</v>
      </c>
      <c r="N1" s="1" t="s">
        <v>6</v>
      </c>
      <c r="O1" s="1" t="s">
        <v>7</v>
      </c>
    </row>
    <row r="2" spans="1:17" x14ac:dyDescent="0.2">
      <c r="A2" s="2" t="s">
        <v>25</v>
      </c>
      <c r="B2" s="2" t="s">
        <v>26</v>
      </c>
      <c r="C2" s="2" t="s">
        <v>24</v>
      </c>
      <c r="D2" s="2" t="s">
        <v>12</v>
      </c>
      <c r="E2" s="2" t="s">
        <v>13</v>
      </c>
      <c r="F2" s="2" t="s">
        <v>13</v>
      </c>
      <c r="G2" s="8">
        <v>10</v>
      </c>
      <c r="H2" s="7">
        <v>3177</v>
      </c>
      <c r="I2" s="8">
        <v>31770</v>
      </c>
      <c r="J2" s="5">
        <v>7357</v>
      </c>
      <c r="K2" s="4">
        <f t="shared" ref="K2:K14" si="0">J2*G2</f>
        <v>73570</v>
      </c>
      <c r="L2" s="7">
        <f t="shared" ref="L2:L14" si="1">J2-H2</f>
        <v>4180</v>
      </c>
      <c r="M2" s="8">
        <f t="shared" ref="M2:M14" si="2">K2-I2</f>
        <v>41800</v>
      </c>
      <c r="N2" s="3">
        <v>45789</v>
      </c>
      <c r="O2" s="3">
        <v>45802</v>
      </c>
      <c r="Q2">
        <v>3419</v>
      </c>
    </row>
    <row r="3" spans="1:17" x14ac:dyDescent="0.2">
      <c r="A3" s="2" t="s">
        <v>25</v>
      </c>
      <c r="B3" s="2" t="s">
        <v>26</v>
      </c>
      <c r="C3" s="2" t="s">
        <v>24</v>
      </c>
      <c r="D3" s="2" t="s">
        <v>12</v>
      </c>
      <c r="E3" s="2" t="s">
        <v>14</v>
      </c>
      <c r="F3" s="2" t="s">
        <v>14</v>
      </c>
      <c r="G3" s="8">
        <v>5</v>
      </c>
      <c r="H3" s="7">
        <v>425</v>
      </c>
      <c r="I3" s="8">
        <v>2125</v>
      </c>
      <c r="J3" s="5">
        <v>60</v>
      </c>
      <c r="K3" s="4">
        <f t="shared" si="0"/>
        <v>300</v>
      </c>
      <c r="L3" s="7">
        <f t="shared" si="1"/>
        <v>-365</v>
      </c>
      <c r="M3" s="8">
        <f t="shared" si="2"/>
        <v>-1825</v>
      </c>
      <c r="N3" s="3">
        <v>45789</v>
      </c>
      <c r="O3" s="3">
        <v>45802</v>
      </c>
      <c r="Q3">
        <v>40</v>
      </c>
    </row>
    <row r="4" spans="1:17" x14ac:dyDescent="0.2">
      <c r="A4" s="2" t="s">
        <v>25</v>
      </c>
      <c r="B4" s="2" t="s">
        <v>26</v>
      </c>
      <c r="C4" s="2" t="s">
        <v>24</v>
      </c>
      <c r="D4" s="2" t="s">
        <v>12</v>
      </c>
      <c r="E4" s="2" t="s">
        <v>23</v>
      </c>
      <c r="F4" s="2" t="s">
        <v>23</v>
      </c>
      <c r="G4" s="8">
        <v>20</v>
      </c>
      <c r="H4" s="7">
        <v>950</v>
      </c>
      <c r="I4" s="8">
        <v>19000</v>
      </c>
      <c r="J4" s="5">
        <v>1539</v>
      </c>
      <c r="K4" s="4">
        <f t="shared" si="0"/>
        <v>30780</v>
      </c>
      <c r="L4" s="7">
        <f t="shared" si="1"/>
        <v>589</v>
      </c>
      <c r="M4" s="8">
        <f t="shared" si="2"/>
        <v>11780</v>
      </c>
      <c r="N4" s="3">
        <v>45789</v>
      </c>
      <c r="O4" s="3">
        <v>45802</v>
      </c>
      <c r="Q4">
        <v>779</v>
      </c>
    </row>
    <row r="5" spans="1:17" x14ac:dyDescent="0.2">
      <c r="A5" s="2" t="s">
        <v>25</v>
      </c>
      <c r="B5" s="2" t="s">
        <v>26</v>
      </c>
      <c r="C5" s="2" t="s">
        <v>24</v>
      </c>
      <c r="D5" s="2" t="s">
        <v>12</v>
      </c>
      <c r="E5" s="2" t="s">
        <v>10</v>
      </c>
      <c r="F5" s="2" t="s">
        <v>10</v>
      </c>
      <c r="G5" s="8">
        <v>10</v>
      </c>
      <c r="H5" s="7">
        <v>729</v>
      </c>
      <c r="I5" s="8">
        <v>7290</v>
      </c>
      <c r="J5" s="5">
        <v>566</v>
      </c>
      <c r="K5" s="4">
        <f t="shared" si="0"/>
        <v>5660</v>
      </c>
      <c r="L5" s="7">
        <f t="shared" si="1"/>
        <v>-163</v>
      </c>
      <c r="M5" s="8">
        <f t="shared" si="2"/>
        <v>-1630</v>
      </c>
      <c r="N5" s="3">
        <v>45789</v>
      </c>
      <c r="O5" s="3">
        <v>45802</v>
      </c>
      <c r="Q5">
        <v>556</v>
      </c>
    </row>
    <row r="6" spans="1:17" x14ac:dyDescent="0.2">
      <c r="A6" s="2" t="s">
        <v>25</v>
      </c>
      <c r="B6" s="2" t="s">
        <v>26</v>
      </c>
      <c r="C6" s="2" t="s">
        <v>24</v>
      </c>
      <c r="D6" s="2" t="s">
        <v>12</v>
      </c>
      <c r="E6" s="2" t="s">
        <v>11</v>
      </c>
      <c r="F6" s="2" t="s">
        <v>11</v>
      </c>
      <c r="G6" s="8">
        <v>10</v>
      </c>
      <c r="H6" s="7">
        <v>811</v>
      </c>
      <c r="I6" s="8">
        <v>8110</v>
      </c>
      <c r="J6" s="5">
        <v>723</v>
      </c>
      <c r="K6" s="4">
        <f t="shared" si="0"/>
        <v>7230</v>
      </c>
      <c r="L6" s="7">
        <f t="shared" si="1"/>
        <v>-88</v>
      </c>
      <c r="M6" s="8">
        <f t="shared" si="2"/>
        <v>-880</v>
      </c>
      <c r="N6" s="3">
        <v>45789</v>
      </c>
      <c r="O6" s="3">
        <v>45802</v>
      </c>
      <c r="Q6">
        <v>723</v>
      </c>
    </row>
    <row r="7" spans="1:17" x14ac:dyDescent="0.2">
      <c r="A7" s="2" t="s">
        <v>25</v>
      </c>
      <c r="B7" s="2" t="s">
        <v>26</v>
      </c>
      <c r="C7" s="2" t="s">
        <v>24</v>
      </c>
      <c r="D7" s="2" t="s">
        <v>12</v>
      </c>
      <c r="E7" s="2" t="s">
        <v>15</v>
      </c>
      <c r="F7" s="2" t="s">
        <v>15</v>
      </c>
      <c r="G7" s="8">
        <v>10</v>
      </c>
      <c r="H7" s="7">
        <v>54</v>
      </c>
      <c r="I7" s="8">
        <v>540</v>
      </c>
      <c r="J7" s="5">
        <v>0</v>
      </c>
      <c r="K7" s="4">
        <f t="shared" si="0"/>
        <v>0</v>
      </c>
      <c r="L7" s="7">
        <f t="shared" si="1"/>
        <v>-54</v>
      </c>
      <c r="M7" s="8">
        <f t="shared" si="2"/>
        <v>-540</v>
      </c>
      <c r="N7" s="3">
        <v>45789</v>
      </c>
      <c r="O7" s="3">
        <v>45802</v>
      </c>
    </row>
    <row r="8" spans="1:17" x14ac:dyDescent="0.2">
      <c r="A8" s="2" t="s">
        <v>25</v>
      </c>
      <c r="B8" s="2" t="s">
        <v>26</v>
      </c>
      <c r="C8" s="2" t="s">
        <v>24</v>
      </c>
      <c r="D8" s="2" t="s">
        <v>12</v>
      </c>
      <c r="E8" s="2" t="s">
        <v>16</v>
      </c>
      <c r="F8" s="2" t="s">
        <v>16</v>
      </c>
      <c r="G8" s="8">
        <v>10</v>
      </c>
      <c r="H8" s="7">
        <v>250</v>
      </c>
      <c r="I8" s="8">
        <v>2500</v>
      </c>
      <c r="J8" s="5">
        <v>20</v>
      </c>
      <c r="K8" s="4">
        <f t="shared" si="0"/>
        <v>200</v>
      </c>
      <c r="L8" s="7">
        <f t="shared" si="1"/>
        <v>-230</v>
      </c>
      <c r="M8" s="8">
        <f t="shared" si="2"/>
        <v>-2300</v>
      </c>
      <c r="N8" s="3">
        <v>45789</v>
      </c>
      <c r="O8" s="3">
        <v>45802</v>
      </c>
      <c r="Q8">
        <v>10</v>
      </c>
    </row>
    <row r="9" spans="1:17" x14ac:dyDescent="0.2">
      <c r="A9" s="2" t="s">
        <v>25</v>
      </c>
      <c r="B9" s="2" t="s">
        <v>26</v>
      </c>
      <c r="C9" s="2" t="s">
        <v>24</v>
      </c>
      <c r="D9" s="2" t="s">
        <v>12</v>
      </c>
      <c r="E9" s="2" t="s">
        <v>17</v>
      </c>
      <c r="F9" s="2" t="s">
        <v>17</v>
      </c>
      <c r="G9" s="8">
        <v>30</v>
      </c>
      <c r="H9" s="7">
        <v>485</v>
      </c>
      <c r="I9" s="8">
        <v>14550</v>
      </c>
      <c r="J9" s="5">
        <v>882</v>
      </c>
      <c r="K9" s="4">
        <f t="shared" si="0"/>
        <v>26460</v>
      </c>
      <c r="L9" s="7">
        <f t="shared" si="1"/>
        <v>397</v>
      </c>
      <c r="M9" s="8">
        <f t="shared" si="2"/>
        <v>11910</v>
      </c>
      <c r="N9" s="3">
        <v>45789</v>
      </c>
      <c r="O9" s="3">
        <v>45802</v>
      </c>
      <c r="Q9">
        <v>872</v>
      </c>
    </row>
    <row r="10" spans="1:17" x14ac:dyDescent="0.2">
      <c r="A10" s="2" t="s">
        <v>25</v>
      </c>
      <c r="B10" s="2" t="s">
        <v>26</v>
      </c>
      <c r="C10" s="2" t="s">
        <v>24</v>
      </c>
      <c r="D10" s="2" t="s">
        <v>12</v>
      </c>
      <c r="E10" s="2" t="s">
        <v>8</v>
      </c>
      <c r="F10" s="2" t="s">
        <v>8</v>
      </c>
      <c r="G10" s="8">
        <v>30</v>
      </c>
      <c r="H10" s="7">
        <v>99</v>
      </c>
      <c r="I10" s="8">
        <v>2970</v>
      </c>
      <c r="J10" s="5">
        <v>37</v>
      </c>
      <c r="K10" s="4">
        <f t="shared" si="0"/>
        <v>1110</v>
      </c>
      <c r="L10" s="7">
        <f t="shared" si="1"/>
        <v>-62</v>
      </c>
      <c r="M10" s="8">
        <f t="shared" si="2"/>
        <v>-1860</v>
      </c>
      <c r="N10" s="3">
        <v>45789</v>
      </c>
      <c r="O10" s="3">
        <v>45802</v>
      </c>
    </row>
    <row r="11" spans="1:17" x14ac:dyDescent="0.2">
      <c r="A11" s="2" t="s">
        <v>25</v>
      </c>
      <c r="B11" s="2" t="s">
        <v>26</v>
      </c>
      <c r="C11" s="2" t="s">
        <v>24</v>
      </c>
      <c r="D11" s="2" t="s">
        <v>12</v>
      </c>
      <c r="E11" s="2" t="s">
        <v>9</v>
      </c>
      <c r="F11" s="2" t="s">
        <v>9</v>
      </c>
      <c r="G11" s="8">
        <v>30</v>
      </c>
      <c r="H11" s="7">
        <v>81</v>
      </c>
      <c r="I11" s="8">
        <v>2430</v>
      </c>
      <c r="J11" s="5">
        <v>0</v>
      </c>
      <c r="K11" s="4">
        <f t="shared" si="0"/>
        <v>0</v>
      </c>
      <c r="L11" s="7">
        <f t="shared" si="1"/>
        <v>-81</v>
      </c>
      <c r="M11" s="8">
        <f t="shared" si="2"/>
        <v>-2430</v>
      </c>
      <c r="N11" s="3">
        <v>45789</v>
      </c>
      <c r="O11" s="3">
        <v>45802</v>
      </c>
    </row>
    <row r="12" spans="1:17" x14ac:dyDescent="0.2">
      <c r="A12" s="2" t="s">
        <v>25</v>
      </c>
      <c r="B12" s="2" t="s">
        <v>26</v>
      </c>
      <c r="C12" s="2" t="s">
        <v>24</v>
      </c>
      <c r="D12" s="2" t="s">
        <v>12</v>
      </c>
      <c r="E12" s="2" t="s">
        <v>18</v>
      </c>
      <c r="F12" s="2" t="s">
        <v>18</v>
      </c>
      <c r="G12" s="8">
        <v>30</v>
      </c>
      <c r="H12" s="7">
        <v>591</v>
      </c>
      <c r="I12" s="8">
        <v>17730</v>
      </c>
      <c r="J12" s="5">
        <v>703</v>
      </c>
      <c r="K12" s="4">
        <f t="shared" si="0"/>
        <v>21090</v>
      </c>
      <c r="L12" s="7">
        <f t="shared" si="1"/>
        <v>112</v>
      </c>
      <c r="M12" s="8">
        <f t="shared" si="2"/>
        <v>3360</v>
      </c>
      <c r="N12" s="3">
        <v>45789</v>
      </c>
      <c r="O12" s="3">
        <v>45802</v>
      </c>
      <c r="Q12">
        <v>573</v>
      </c>
    </row>
    <row r="13" spans="1:17" x14ac:dyDescent="0.2">
      <c r="A13" s="2" t="s">
        <v>25</v>
      </c>
      <c r="B13" s="2" t="s">
        <v>26</v>
      </c>
      <c r="C13" s="2" t="s">
        <v>24</v>
      </c>
      <c r="D13" s="2" t="s">
        <v>12</v>
      </c>
      <c r="E13" s="2" t="s">
        <v>19</v>
      </c>
      <c r="F13" s="2" t="s">
        <v>20</v>
      </c>
      <c r="G13" s="8">
        <v>7</v>
      </c>
      <c r="H13" s="7">
        <v>97</v>
      </c>
      <c r="I13" s="8">
        <v>679</v>
      </c>
      <c r="J13" s="5">
        <v>0</v>
      </c>
      <c r="K13" s="4">
        <f t="shared" si="0"/>
        <v>0</v>
      </c>
      <c r="L13" s="7">
        <f t="shared" si="1"/>
        <v>-97</v>
      </c>
      <c r="M13" s="8">
        <f t="shared" si="2"/>
        <v>-679</v>
      </c>
      <c r="N13" s="3">
        <v>45789</v>
      </c>
      <c r="O13" s="3">
        <v>45802</v>
      </c>
    </row>
    <row r="14" spans="1:17" x14ac:dyDescent="0.2">
      <c r="A14" s="2" t="s">
        <v>25</v>
      </c>
      <c r="B14" s="2" t="s">
        <v>26</v>
      </c>
      <c r="C14" s="2" t="s">
        <v>24</v>
      </c>
      <c r="D14" s="2" t="s">
        <v>12</v>
      </c>
      <c r="E14" s="2" t="s">
        <v>21</v>
      </c>
      <c r="F14" s="2" t="s">
        <v>22</v>
      </c>
      <c r="G14" s="8">
        <v>7</v>
      </c>
      <c r="H14" s="7">
        <v>133</v>
      </c>
      <c r="I14" s="8">
        <v>931</v>
      </c>
      <c r="J14" s="5">
        <v>0</v>
      </c>
      <c r="K14" s="4">
        <f t="shared" si="0"/>
        <v>0</v>
      </c>
      <c r="L14" s="7">
        <f t="shared" si="1"/>
        <v>-133</v>
      </c>
      <c r="M14" s="8">
        <f t="shared" si="2"/>
        <v>-931</v>
      </c>
      <c r="N14" s="3">
        <v>45789</v>
      </c>
      <c r="O14" s="3">
        <v>45802</v>
      </c>
    </row>
  </sheetData>
  <autoFilter ref="A1:O1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2025-05-19T21:10:04Z</dcterms:created>
  <dcterms:modified xsi:type="dcterms:W3CDTF">2025-05-28T16:57:31Z</dcterms:modified>
  <cp:category/>
</cp:coreProperties>
</file>