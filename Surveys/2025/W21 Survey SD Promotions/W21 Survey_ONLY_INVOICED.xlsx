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21 Survey SD Promotions\"/>
    </mc:Choice>
  </mc:AlternateContent>
  <xr:revisionPtr revIDLastSave="0" documentId="13_ncr:1_{CEDF0CC4-4C29-4DD7-900D-40F66B9937D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2" i="2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<sst xmlns="http://schemas.openxmlformats.org/spreadsheetml/2006/main" count="110" uniqueCount="37">
  <si>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</si>
  <si>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</si>
  <si>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</si>
  <si>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</si>
  <si>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</si>
  <si>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</si>
  <si>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</si>
  <si>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</si>
  <si>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G-S25</t>
  </si>
  <si>
    <t>G-S25+</t>
  </si>
  <si>
    <t>G-A36-5G</t>
  </si>
  <si>
    <t>G-A56-5G</t>
  </si>
  <si>
    <t>VITEL MOBILE, INC.</t>
  </si>
  <si>
    <t>G-A16</t>
  </si>
  <si>
    <t>G-A16-5G</t>
  </si>
  <si>
    <t>G-S24</t>
  </si>
  <si>
    <t>G-S24+</t>
  </si>
  <si>
    <t>G-S24-ULTRA</t>
  </si>
  <si>
    <t>G-S25-ULTRA</t>
  </si>
  <si>
    <t>SM-M556BLGMTPA</t>
  </si>
  <si>
    <t>MOBILE,SM-M556B/DS,LIGHT GREEN,TPA</t>
  </si>
  <si>
    <t>SM-M556BZKMTPA</t>
  </si>
  <si>
    <t>MOBILE,SM-M556B/DS,BLACK,TPA</t>
  </si>
  <si>
    <t>G-A26-5G</t>
  </si>
  <si>
    <t>A2S3A0A250000191</t>
  </si>
  <si>
    <t>A0S3A0A250000556</t>
  </si>
  <si>
    <t>VITEL W20-W21 NRM Sell-Thru Promotion</t>
  </si>
  <si>
    <t>Incentive</t>
  </si>
  <si>
    <t>AS-IS Qty</t>
  </si>
  <si>
    <t>AS-IS Amt($)</t>
  </si>
  <si>
    <t>DELTA Qty</t>
  </si>
  <si>
    <t>DELTA Amt($)</t>
  </si>
  <si>
    <t>TO-BE Qty</t>
  </si>
  <si>
    <t>TO-BE Amt($)</t>
  </si>
  <si>
    <t>Invoiced</t>
  </si>
  <si>
    <t>Limit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</si>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</sst>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b/>
      <sz val="20"/>
      <color theme="1"/>
      <name val="Calibri"/>
      <family val="2"/>
    </font>
    <font>
      <sz val="2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3" fontId="0" fillId="3" borderId="1" xfId="0" applyNumberFormat="1" applyFill="1" applyBorder="1"/>
    <xf numFmtId="3" fontId="0" fillId="0" borderId="0" xfId="0" applyNumberFormat="1"/>
    <xf numFmtId="3" fontId="0" fillId="4" borderId="1" xfId="0" applyNumberFormat="1" applyFill="1" applyBorder="1"/>
    <xf numFmtId="8" fontId="0" fillId="4" borderId="1" xfId="0" applyNumberFormat="1" applyFill="1" applyBorder="1"/>
    <xf numFmtId="0" fontId="2" fillId="2" borderId="1" xfId="0" applyFont="1" applyFill="1" applyBorder="1"/>
    <xf numFmtId="0" fontId="3" fillId="0" borderId="0" xfId="0" applyFont="1"/>
    <xf numFmtId="0" fontId="3" fillId="0" borderId="1" xfId="0" applyFont="1" applyBorder="1"/>
    <xf numFmtId="3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opLeftCell="F1" zoomScale="190" zoomScaleNormal="190" workbookViewId="0">
      <pane ySplit="1" topLeftCell="A2" activePane="bottomLeft" state="frozen"/>
      <selection pane="bottomLeft" activeCell="J1" sqref="J1:J14"/>
    </sheetView>
  </sheetViews>
  <sheetFormatPr defaultRowHeight="12.75" x14ac:dyDescent="0.2"/>
  <cols>
    <col min="1" max="1" width="22.42578125" bestFit="1" customWidth="1"/>
    <col min="2" max="2" width="37.42578125" bestFit="1" customWidth="1"/>
    <col min="3" max="3" width="28" bestFit="1" customWidth="1"/>
    <col min="4" max="4" width="27.85546875" bestFit="1" customWidth="1"/>
    <col min="5" max="5" width="16" bestFit="1" customWidth="1"/>
    <col min="6" max="6" width="33" bestFit="1" customWidth="1"/>
    <col min="7" max="7" width="10.42578125" customWidth="1"/>
    <col min="8" max="8" width="10.42578125" style="6" customWidth="1"/>
    <col min="9" max="9" width="13.140625" customWidth="1"/>
    <col min="10" max="10" width="11.140625" style="6" customWidth="1"/>
    <col min="11" max="11" width="13.85546875" customWidth="1"/>
    <col min="12" max="12" width="11.42578125" style="6" customWidth="1"/>
    <col min="13" max="13" width="14.140625" customWidth="1"/>
    <col min="14" max="14" width="21.5703125" customWidth="1"/>
    <col min="15" max="15" width="20.5703125" customWidth="1"/>
    <col min="16" max="16" width="9.1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</v>
      </c>
      <c r="H1" s="1" t="s">
        <v>28</v>
      </c>
      <c r="I1" s="1" t="s">
        <v>29</v>
      </c>
      <c r="J1" s="1" t="s">
        <v>32</v>
      </c>
      <c r="K1" s="1" t="s">
        <v>33</v>
      </c>
      <c r="L1" s="1" t="s">
        <v>30</v>
      </c>
      <c r="M1" s="1" t="s">
        <v>31</v>
      </c>
      <c r="N1" s="1" t="s">
        <v>6</v>
      </c>
      <c r="O1" s="1" t="s">
        <v>7</v>
      </c>
    </row>
    <row r="2" spans="1:15" x14ac:dyDescent="0.2">
      <c r="A2" s="2" t="s">
        <v>25</v>
      </c>
      <c r="B2" s="2" t="s">
        <v>26</v>
      </c>
      <c r="C2" s="2" t="s">
        <v>24</v>
      </c>
      <c r="D2" s="2" t="s">
        <v>12</v>
      </c>
      <c r="E2" s="2" t="s">
        <v>13</v>
      </c>
      <c r="F2" s="2" t="s">
        <v>13</v>
      </c>
      <c r="G2" s="8">
        <v>10</v>
      </c>
      <c r="H2" s="7">
        <v>3177</v>
      </c>
      <c r="I2" s="8">
        <v>31770</v>
      </c>
      <c r="J2" s="5">
        <v>3419</v>
      </c>
      <c r="K2" s="4">
        <f t="shared" ref="K2:K14" si="0">J2*G2</f>
        <v>34190</v>
      </c>
      <c r="L2" s="7">
        <f t="shared" ref="L2:L14" si="1">J2-H2</f>
        <v>242</v>
      </c>
      <c r="M2" s="8">
        <f t="shared" ref="M2:M14" si="2">K2-I2</f>
        <v>2420</v>
      </c>
      <c r="N2" s="3">
        <v>45789</v>
      </c>
      <c r="O2" s="3">
        <v>45802</v>
      </c>
    </row>
    <row r="3" spans="1:15" x14ac:dyDescent="0.2">
      <c r="A3" s="2" t="s">
        <v>25</v>
      </c>
      <c r="B3" s="2" t="s">
        <v>26</v>
      </c>
      <c r="C3" s="2" t="s">
        <v>24</v>
      </c>
      <c r="D3" s="2" t="s">
        <v>12</v>
      </c>
      <c r="E3" s="2" t="s">
        <v>14</v>
      </c>
      <c r="F3" s="2" t="s">
        <v>14</v>
      </c>
      <c r="G3" s="8">
        <v>5</v>
      </c>
      <c r="H3" s="7">
        <v>425</v>
      </c>
      <c r="I3" s="8">
        <v>2125</v>
      </c>
      <c r="J3" s="5">
        <v>40</v>
      </c>
      <c r="K3" s="4">
        <f t="shared" si="0"/>
        <v>200</v>
      </c>
      <c r="L3" s="7">
        <f t="shared" si="1"/>
        <v>-385</v>
      </c>
      <c r="M3" s="8">
        <f t="shared" si="2"/>
        <v>-1925</v>
      </c>
      <c r="N3" s="3">
        <v>45789</v>
      </c>
      <c r="O3" s="3">
        <v>45802</v>
      </c>
    </row>
    <row r="4" spans="1:15" x14ac:dyDescent="0.2">
      <c r="A4" s="2" t="s">
        <v>25</v>
      </c>
      <c r="B4" s="2" t="s">
        <v>26</v>
      </c>
      <c r="C4" s="2" t="s">
        <v>24</v>
      </c>
      <c r="D4" s="2" t="s">
        <v>12</v>
      </c>
      <c r="E4" s="2" t="s">
        <v>23</v>
      </c>
      <c r="F4" s="2" t="s">
        <v>23</v>
      </c>
      <c r="G4" s="8">
        <v>20</v>
      </c>
      <c r="H4" s="7">
        <v>950</v>
      </c>
      <c r="I4" s="8">
        <v>19000</v>
      </c>
      <c r="J4" s="5">
        <v>779</v>
      </c>
      <c r="K4" s="4">
        <f t="shared" si="0"/>
        <v>15580</v>
      </c>
      <c r="L4" s="7">
        <f t="shared" si="1"/>
        <v>-171</v>
      </c>
      <c r="M4" s="8">
        <f t="shared" si="2"/>
        <v>-3420</v>
      </c>
      <c r="N4" s="3">
        <v>45789</v>
      </c>
      <c r="O4" s="3">
        <v>45802</v>
      </c>
    </row>
    <row r="5" spans="1:15" x14ac:dyDescent="0.2">
      <c r="A5" s="2" t="s">
        <v>25</v>
      </c>
      <c r="B5" s="2" t="s">
        <v>26</v>
      </c>
      <c r="C5" s="2" t="s">
        <v>24</v>
      </c>
      <c r="D5" s="2" t="s">
        <v>12</v>
      </c>
      <c r="E5" s="2" t="s">
        <v>10</v>
      </c>
      <c r="F5" s="2" t="s">
        <v>10</v>
      </c>
      <c r="G5" s="8">
        <v>10</v>
      </c>
      <c r="H5" s="7">
        <v>729</v>
      </c>
      <c r="I5" s="8">
        <v>7290</v>
      </c>
      <c r="J5" s="5">
        <v>556</v>
      </c>
      <c r="K5" s="4">
        <f t="shared" si="0"/>
        <v>5560</v>
      </c>
      <c r="L5" s="7">
        <f t="shared" si="1"/>
        <v>-173</v>
      </c>
      <c r="M5" s="8">
        <f t="shared" si="2"/>
        <v>-1730</v>
      </c>
      <c r="N5" s="3">
        <v>45789</v>
      </c>
      <c r="O5" s="3">
        <v>45802</v>
      </c>
    </row>
    <row r="6" spans="1:15" x14ac:dyDescent="0.2">
      <c r="A6" s="2" t="s">
        <v>25</v>
      </c>
      <c r="B6" s="2" t="s">
        <v>26</v>
      </c>
      <c r="C6" s="2" t="s">
        <v>24</v>
      </c>
      <c r="D6" s="2" t="s">
        <v>12</v>
      </c>
      <c r="E6" s="2" t="s">
        <v>11</v>
      </c>
      <c r="F6" s="2" t="s">
        <v>11</v>
      </c>
      <c r="G6" s="8">
        <v>10</v>
      </c>
      <c r="H6" s="7">
        <v>811</v>
      </c>
      <c r="I6" s="8">
        <v>8110</v>
      </c>
      <c r="J6" s="5">
        <v>723</v>
      </c>
      <c r="K6" s="4">
        <f t="shared" si="0"/>
        <v>7230</v>
      </c>
      <c r="L6" s="7">
        <f t="shared" si="1"/>
        <v>-88</v>
      </c>
      <c r="M6" s="8">
        <f t="shared" si="2"/>
        <v>-880</v>
      </c>
      <c r="N6" s="3">
        <v>45789</v>
      </c>
      <c r="O6" s="3">
        <v>45802</v>
      </c>
    </row>
    <row r="7" spans="1:15" x14ac:dyDescent="0.2">
      <c r="A7" s="2" t="s">
        <v>25</v>
      </c>
      <c r="B7" s="2" t="s">
        <v>26</v>
      </c>
      <c r="C7" s="2" t="s">
        <v>24</v>
      </c>
      <c r="D7" s="2" t="s">
        <v>12</v>
      </c>
      <c r="E7" s="2" t="s">
        <v>15</v>
      </c>
      <c r="F7" s="2" t="s">
        <v>15</v>
      </c>
      <c r="G7" s="8">
        <v>10</v>
      </c>
      <c r="H7" s="7">
        <v>54</v>
      </c>
      <c r="I7" s="8">
        <v>540</v>
      </c>
      <c r="J7" s="5"/>
      <c r="K7" s="4">
        <f t="shared" si="0"/>
        <v>0</v>
      </c>
      <c r="L7" s="7">
        <f t="shared" si="1"/>
        <v>-54</v>
      </c>
      <c r="M7" s="8">
        <f t="shared" si="2"/>
        <v>-540</v>
      </c>
      <c r="N7" s="3">
        <v>45789</v>
      </c>
      <c r="O7" s="3">
        <v>45802</v>
      </c>
    </row>
    <row r="8" spans="1:15" x14ac:dyDescent="0.2">
      <c r="A8" s="2" t="s">
        <v>25</v>
      </c>
      <c r="B8" s="2" t="s">
        <v>26</v>
      </c>
      <c r="C8" s="2" t="s">
        <v>24</v>
      </c>
      <c r="D8" s="2" t="s">
        <v>12</v>
      </c>
      <c r="E8" s="2" t="s">
        <v>16</v>
      </c>
      <c r="F8" s="2" t="s">
        <v>16</v>
      </c>
      <c r="G8" s="8">
        <v>10</v>
      </c>
      <c r="H8" s="7">
        <v>250</v>
      </c>
      <c r="I8" s="8">
        <v>2500</v>
      </c>
      <c r="J8" s="5">
        <v>10</v>
      </c>
      <c r="K8" s="4">
        <f t="shared" si="0"/>
        <v>100</v>
      </c>
      <c r="L8" s="7">
        <f t="shared" si="1"/>
        <v>-240</v>
      </c>
      <c r="M8" s="8">
        <f t="shared" si="2"/>
        <v>-2400</v>
      </c>
      <c r="N8" s="3">
        <v>45789</v>
      </c>
      <c r="O8" s="3">
        <v>45802</v>
      </c>
    </row>
    <row r="9" spans="1:15" x14ac:dyDescent="0.2">
      <c r="A9" s="2" t="s">
        <v>25</v>
      </c>
      <c r="B9" s="2" t="s">
        <v>26</v>
      </c>
      <c r="C9" s="2" t="s">
        <v>24</v>
      </c>
      <c r="D9" s="2" t="s">
        <v>12</v>
      </c>
      <c r="E9" s="2" t="s">
        <v>17</v>
      </c>
      <c r="F9" s="2" t="s">
        <v>17</v>
      </c>
      <c r="G9" s="8">
        <v>30</v>
      </c>
      <c r="H9" s="7">
        <v>485</v>
      </c>
      <c r="I9" s="8">
        <v>14550</v>
      </c>
      <c r="J9" s="5">
        <v>872</v>
      </c>
      <c r="K9" s="4">
        <f t="shared" si="0"/>
        <v>26160</v>
      </c>
      <c r="L9" s="7">
        <f t="shared" si="1"/>
        <v>387</v>
      </c>
      <c r="M9" s="8">
        <f t="shared" si="2"/>
        <v>11610</v>
      </c>
      <c r="N9" s="3">
        <v>45789</v>
      </c>
      <c r="O9" s="3">
        <v>45802</v>
      </c>
    </row>
    <row r="10" spans="1:15" x14ac:dyDescent="0.2">
      <c r="A10" s="2" t="s">
        <v>25</v>
      </c>
      <c r="B10" s="2" t="s">
        <v>26</v>
      </c>
      <c r="C10" s="2" t="s">
        <v>24</v>
      </c>
      <c r="D10" s="2" t="s">
        <v>12</v>
      </c>
      <c r="E10" s="2" t="s">
        <v>8</v>
      </c>
      <c r="F10" s="2" t="s">
        <v>8</v>
      </c>
      <c r="G10" s="8">
        <v>30</v>
      </c>
      <c r="H10" s="7">
        <v>99</v>
      </c>
      <c r="I10" s="8">
        <v>2970</v>
      </c>
      <c r="J10" s="5"/>
      <c r="K10" s="4">
        <f t="shared" si="0"/>
        <v>0</v>
      </c>
      <c r="L10" s="7">
        <f t="shared" si="1"/>
        <v>-99</v>
      </c>
      <c r="M10" s="8">
        <f t="shared" si="2"/>
        <v>-2970</v>
      </c>
      <c r="N10" s="3">
        <v>45789</v>
      </c>
      <c r="O10" s="3">
        <v>45802</v>
      </c>
    </row>
    <row r="11" spans="1:15" x14ac:dyDescent="0.2">
      <c r="A11" s="2" t="s">
        <v>25</v>
      </c>
      <c r="B11" s="2" t="s">
        <v>26</v>
      </c>
      <c r="C11" s="2" t="s">
        <v>24</v>
      </c>
      <c r="D11" s="2" t="s">
        <v>12</v>
      </c>
      <c r="E11" s="2" t="s">
        <v>9</v>
      </c>
      <c r="F11" s="2" t="s">
        <v>9</v>
      </c>
      <c r="G11" s="8">
        <v>30</v>
      </c>
      <c r="H11" s="7">
        <v>81</v>
      </c>
      <c r="I11" s="8">
        <v>2430</v>
      </c>
      <c r="J11" s="5"/>
      <c r="K11" s="4">
        <f t="shared" si="0"/>
        <v>0</v>
      </c>
      <c r="L11" s="7">
        <f t="shared" si="1"/>
        <v>-81</v>
      </c>
      <c r="M11" s="8">
        <f t="shared" si="2"/>
        <v>-2430</v>
      </c>
      <c r="N11" s="3">
        <v>45789</v>
      </c>
      <c r="O11" s="3">
        <v>45802</v>
      </c>
    </row>
    <row r="12" spans="1:15" x14ac:dyDescent="0.2">
      <c r="A12" s="2" t="s">
        <v>25</v>
      </c>
      <c r="B12" s="2" t="s">
        <v>26</v>
      </c>
      <c r="C12" s="2" t="s">
        <v>24</v>
      </c>
      <c r="D12" s="2" t="s">
        <v>12</v>
      </c>
      <c r="E12" s="2" t="s">
        <v>18</v>
      </c>
      <c r="F12" s="2" t="s">
        <v>18</v>
      </c>
      <c r="G12" s="8">
        <v>30</v>
      </c>
      <c r="H12" s="7">
        <v>591</v>
      </c>
      <c r="I12" s="8">
        <v>17730</v>
      </c>
      <c r="J12" s="5">
        <v>573</v>
      </c>
      <c r="K12" s="4">
        <f t="shared" si="0"/>
        <v>17190</v>
      </c>
      <c r="L12" s="7">
        <f t="shared" si="1"/>
        <v>-18</v>
      </c>
      <c r="M12" s="8">
        <f t="shared" si="2"/>
        <v>-540</v>
      </c>
      <c r="N12" s="3">
        <v>45789</v>
      </c>
      <c r="O12" s="3">
        <v>45802</v>
      </c>
    </row>
    <row r="13" spans="1:15" x14ac:dyDescent="0.2">
      <c r="A13" s="2" t="s">
        <v>25</v>
      </c>
      <c r="B13" s="2" t="s">
        <v>26</v>
      </c>
      <c r="C13" s="2" t="s">
        <v>24</v>
      </c>
      <c r="D13" s="2" t="s">
        <v>12</v>
      </c>
      <c r="E13" s="2" t="s">
        <v>19</v>
      </c>
      <c r="F13" s="2" t="s">
        <v>20</v>
      </c>
      <c r="G13" s="8">
        <v>7</v>
      </c>
      <c r="H13" s="7">
        <v>97</v>
      </c>
      <c r="I13" s="8">
        <v>679</v>
      </c>
      <c r="J13" s="5">
        <v>0</v>
      </c>
      <c r="K13" s="4">
        <f t="shared" si="0"/>
        <v>0</v>
      </c>
      <c r="L13" s="7">
        <f t="shared" si="1"/>
        <v>-97</v>
      </c>
      <c r="M13" s="8">
        <f t="shared" si="2"/>
        <v>-679</v>
      </c>
      <c r="N13" s="3">
        <v>45789</v>
      </c>
      <c r="O13" s="3">
        <v>45802</v>
      </c>
    </row>
    <row r="14" spans="1:15" x14ac:dyDescent="0.2">
      <c r="A14" s="2" t="s">
        <v>25</v>
      </c>
      <c r="B14" s="2" t="s">
        <v>26</v>
      </c>
      <c r="C14" s="2" t="s">
        <v>24</v>
      </c>
      <c r="D14" s="2" t="s">
        <v>12</v>
      </c>
      <c r="E14" s="2" t="s">
        <v>21</v>
      </c>
      <c r="F14" s="2" t="s">
        <v>22</v>
      </c>
      <c r="G14" s="8">
        <v>7</v>
      </c>
      <c r="H14" s="7">
        <v>133</v>
      </c>
      <c r="I14" s="8">
        <v>931</v>
      </c>
      <c r="J14" s="5">
        <v>0</v>
      </c>
      <c r="K14" s="4">
        <f t="shared" si="0"/>
        <v>0</v>
      </c>
      <c r="L14" s="7">
        <f t="shared" si="1"/>
        <v>-133</v>
      </c>
      <c r="M14" s="8">
        <f t="shared" si="2"/>
        <v>-931</v>
      </c>
      <c r="N14" s="3">
        <v>45789</v>
      </c>
      <c r="O14" s="3">
        <v>45802</v>
      </c>
    </row>
  </sheetData>
  <autoFilter ref="A1:O14" xr:uid="{00000000-0001-0000-0000-000000000000}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DB79-ADD1-44BD-88D8-B36D22E2C96C}">
  <dimension ref="A1:D14"/>
  <sheetViews>
    <sheetView tabSelected="1" workbookViewId="0">
      <selection activeCell="D4" sqref="D4"/>
    </sheetView>
  </sheetViews>
  <sheetFormatPr defaultRowHeight="26.25" x14ac:dyDescent="0.4"/>
  <cols>
    <col min="1" max="1" width="33" style="10" bestFit="1" customWidth="1"/>
    <col min="2" max="2" width="15.28515625" style="10" bestFit="1" customWidth="1"/>
    <col min="3" max="3" width="10.5703125" style="10" bestFit="1" customWidth="1"/>
    <col min="4" max="4" width="16.5703125" style="10" bestFit="1" customWidth="1"/>
    <col min="5" max="16384" width="9.140625" style="10"/>
  </cols>
  <sheetData>
    <row r="1" spans="1:4" x14ac:dyDescent="0.4">
      <c r="A1" s="9" t="s">
        <v>5</v>
      </c>
      <c r="B1" s="9" t="s">
        <v>34</v>
      </c>
      <c r="C1" s="9" t="s">
        <v>35</v>
      </c>
      <c r="D1" s="9" t="s">
        <v>36</v>
      </c>
    </row>
    <row r="2" spans="1:4" x14ac:dyDescent="0.4">
      <c r="A2" s="11" t="s">
        <v>13</v>
      </c>
      <c r="B2" s="12">
        <v>3419</v>
      </c>
      <c r="C2" s="12">
        <v>7357</v>
      </c>
      <c r="D2" s="12">
        <f>C2-B2</f>
        <v>3938</v>
      </c>
    </row>
    <row r="3" spans="1:4" x14ac:dyDescent="0.4">
      <c r="A3" s="11" t="s">
        <v>14</v>
      </c>
      <c r="B3" s="12">
        <v>40</v>
      </c>
      <c r="C3" s="12">
        <v>60</v>
      </c>
      <c r="D3" s="12">
        <f t="shared" ref="D3:D14" si="0">C3-B3</f>
        <v>20</v>
      </c>
    </row>
    <row r="4" spans="1:4" x14ac:dyDescent="0.4">
      <c r="A4" s="11" t="s">
        <v>23</v>
      </c>
      <c r="B4" s="12">
        <v>779</v>
      </c>
      <c r="C4" s="12">
        <v>1539</v>
      </c>
      <c r="D4" s="12">
        <f t="shared" si="0"/>
        <v>760</v>
      </c>
    </row>
    <row r="5" spans="1:4" x14ac:dyDescent="0.4">
      <c r="A5" s="11" t="s">
        <v>10</v>
      </c>
      <c r="B5" s="12">
        <v>556</v>
      </c>
      <c r="C5" s="12">
        <v>566</v>
      </c>
      <c r="D5" s="12">
        <f t="shared" si="0"/>
        <v>10</v>
      </c>
    </row>
    <row r="6" spans="1:4" x14ac:dyDescent="0.4">
      <c r="A6" s="11" t="s">
        <v>11</v>
      </c>
      <c r="B6" s="12">
        <v>723</v>
      </c>
      <c r="C6" s="12">
        <v>723</v>
      </c>
      <c r="D6" s="12">
        <f t="shared" si="0"/>
        <v>0</v>
      </c>
    </row>
    <row r="7" spans="1:4" x14ac:dyDescent="0.4">
      <c r="A7" s="11" t="s">
        <v>15</v>
      </c>
      <c r="B7" s="12"/>
      <c r="C7" s="12">
        <v>0</v>
      </c>
      <c r="D7" s="12">
        <f t="shared" si="0"/>
        <v>0</v>
      </c>
    </row>
    <row r="8" spans="1:4" x14ac:dyDescent="0.4">
      <c r="A8" s="11" t="s">
        <v>16</v>
      </c>
      <c r="B8" s="12">
        <v>10</v>
      </c>
      <c r="C8" s="12">
        <v>20</v>
      </c>
      <c r="D8" s="12">
        <f t="shared" si="0"/>
        <v>10</v>
      </c>
    </row>
    <row r="9" spans="1:4" x14ac:dyDescent="0.4">
      <c r="A9" s="11" t="s">
        <v>17</v>
      </c>
      <c r="B9" s="12">
        <v>872</v>
      </c>
      <c r="C9" s="12">
        <v>882</v>
      </c>
      <c r="D9" s="12">
        <f t="shared" si="0"/>
        <v>10</v>
      </c>
    </row>
    <row r="10" spans="1:4" x14ac:dyDescent="0.4">
      <c r="A10" s="11" t="s">
        <v>8</v>
      </c>
      <c r="B10" s="12"/>
      <c r="C10" s="12">
        <v>37</v>
      </c>
      <c r="D10" s="12">
        <f t="shared" si="0"/>
        <v>37</v>
      </c>
    </row>
    <row r="11" spans="1:4" x14ac:dyDescent="0.4">
      <c r="A11" s="11" t="s">
        <v>9</v>
      </c>
      <c r="B11" s="12"/>
      <c r="C11" s="12">
        <v>0</v>
      </c>
      <c r="D11" s="12">
        <f t="shared" si="0"/>
        <v>0</v>
      </c>
    </row>
    <row r="12" spans="1:4" x14ac:dyDescent="0.4">
      <c r="A12" s="11" t="s">
        <v>18</v>
      </c>
      <c r="B12" s="12">
        <v>573</v>
      </c>
      <c r="C12" s="12">
        <v>703</v>
      </c>
      <c r="D12" s="12">
        <f t="shared" si="0"/>
        <v>130</v>
      </c>
    </row>
    <row r="13" spans="1:4" x14ac:dyDescent="0.4">
      <c r="A13" s="11" t="s">
        <v>20</v>
      </c>
      <c r="B13" s="12">
        <v>0</v>
      </c>
      <c r="C13" s="12">
        <v>0</v>
      </c>
      <c r="D13" s="12">
        <f t="shared" si="0"/>
        <v>0</v>
      </c>
    </row>
    <row r="14" spans="1:4" x14ac:dyDescent="0.4">
      <c r="A14" s="11" t="s">
        <v>22</v>
      </c>
      <c r="B14" s="12">
        <v>0</v>
      </c>
      <c r="C14" s="12">
        <v>0</v>
      </c>
      <c r="D14" s="12">
        <f t="shared" si="0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2025-05-19T21:10:04Z</dcterms:created>
  <dcterms:modified xsi:type="dcterms:W3CDTF">2025-05-23T15:16:58Z</dcterms:modified>
  <cp:category/>
</cp:coreProperties>
</file>