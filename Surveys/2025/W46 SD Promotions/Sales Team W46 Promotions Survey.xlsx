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6 SD Promotions\"/>
    </mc:Choice>
  </mc:AlternateContent>
  <xr:revisionPtr revIDLastSave="0" documentId="13_ncr:1_{37D64BCC-8E24-498D-9D29-CC27D913E8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3" l="1"/>
  <c r="P3" i="13"/>
  <c r="G3" i="13"/>
  <c r="J3" i="13"/>
  <c r="K3" i="13" s="1"/>
  <c r="G2" i="13"/>
  <c r="J2" i="13"/>
  <c r="K2" i="13" s="1"/>
  <c r="L3" i="13" l="1"/>
  <c r="Q3" i="13" s="1"/>
  <c r="L2" i="13"/>
  <c r="Q2" i="13" l="1"/>
  <c r="R2" i="13" s="1"/>
  <c r="M3" i="13"/>
  <c r="N3" i="13" s="1"/>
  <c r="S2" i="13"/>
  <c r="M2" i="13"/>
  <c r="N2" i="13" s="1"/>
</calcChain>
</file>

<file path=xl/sharedStrings.xml><?xml version="1.0" encoding="utf-8"?>
<sst xmlns="http://schemas.openxmlformats.org/spreadsheetml/2006/main" count="23" uniqueCount="20">
  <si>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</si>
  <si>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</si>
  <si>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</si>
  <si>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</si>
  <si>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</si>
  <si>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</si>
  <si>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</si>
  <si>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</si>
  <si>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</si>
  <si>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</si>
  <si>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</si>
  <si>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</si>
  <si>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</si>
  <si>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A0S3A0A250001060</t>
  </si>
  <si>
    <t>VITEL W45-W46 S25 Ultra OM ST Promo</t>
  </si>
  <si>
    <t>G-S25-ULTRA</t>
  </si>
  <si>
    <t>1060</t>
  </si>
  <si>
    <t>A0S3A0A250001070</t>
  </si>
  <si>
    <t>VITEL W44-W46 A9 OM ST Promo</t>
  </si>
  <si>
    <t>G-TAB-A9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</si>
</sst>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4" fontId="0" fillId="4" borderId="1" xfId="0" applyNumberFormat="1" applyFill="1" applyBorder="1"/>
    <xf numFmtId="0" fontId="2" fillId="5" borderId="1" xfId="0" quotePrefix="1" applyFont="1" applyFill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6"/>
  <sheetViews>
    <sheetView showGridLines="0" tabSelected="1" zoomScaleNormal="100" workbookViewId="0">
      <pane ySplit="1" topLeftCell="A2" activePane="bottomLeft" state="frozen"/>
      <selection pane="bottomLeft" activeCell="I3" sqref="I3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11.42578125" bestFit="1" customWidth="1"/>
    <col min="12" max="12" width="12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16</v>
      </c>
      <c r="S1" s="11">
        <v>1070</v>
      </c>
    </row>
    <row r="2" spans="1:19" ht="18" customHeight="1" x14ac:dyDescent="0.2">
      <c r="A2" s="16" t="s">
        <v>13</v>
      </c>
      <c r="B2" s="16" t="s">
        <v>14</v>
      </c>
      <c r="C2" s="16" t="s">
        <v>15</v>
      </c>
      <c r="D2" s="16" t="s">
        <v>15</v>
      </c>
      <c r="E2" s="2">
        <v>50</v>
      </c>
      <c r="F2" s="14">
        <v>2374</v>
      </c>
      <c r="G2" s="2">
        <f>E2*F2</f>
        <v>118700</v>
      </c>
      <c r="H2" s="3">
        <v>1702</v>
      </c>
      <c r="I2" s="3"/>
      <c r="J2" s="3">
        <f t="shared" ref="J2:J3" si="0">H2+I2</f>
        <v>1702</v>
      </c>
      <c r="K2" s="3">
        <f t="shared" ref="K2:K3" si="1">F2-J2</f>
        <v>672</v>
      </c>
      <c r="L2" s="4">
        <f t="shared" ref="L2:L3" si="2">J2*E2</f>
        <v>85100</v>
      </c>
      <c r="M2" s="4">
        <f t="shared" ref="M2:M3" si="3">G2-L2</f>
        <v>33600</v>
      </c>
      <c r="N2" s="13" t="str">
        <f t="shared" ref="N2:N3" si="4">IF(M2&gt;0,"KEEP SELLING", "DO NOT SELL")</f>
        <v>KEEP SELLING</v>
      </c>
      <c r="P2" s="10">
        <f>SUM(G2:G2)</f>
        <v>118700</v>
      </c>
      <c r="Q2" s="9">
        <f>SUM(L2:L2)</f>
        <v>85100</v>
      </c>
      <c r="R2" s="12">
        <f>P2-Q2</f>
        <v>33600</v>
      </c>
      <c r="S2" s="12">
        <f>P3-Q3</f>
        <v>-1990</v>
      </c>
    </row>
    <row r="3" spans="1:19" ht="18" customHeight="1" x14ac:dyDescent="0.2">
      <c r="A3" s="16" t="s">
        <v>17</v>
      </c>
      <c r="B3" s="16" t="s">
        <v>18</v>
      </c>
      <c r="C3" s="16" t="s">
        <v>19</v>
      </c>
      <c r="D3" s="16" t="s">
        <v>19</v>
      </c>
      <c r="E3" s="2">
        <v>10</v>
      </c>
      <c r="F3" s="14">
        <v>1</v>
      </c>
      <c r="G3" s="2">
        <f t="shared" ref="G3" si="5">E3*F3</f>
        <v>10</v>
      </c>
      <c r="H3" s="3">
        <v>200</v>
      </c>
      <c r="I3" s="3"/>
      <c r="J3" s="3">
        <f t="shared" si="0"/>
        <v>200</v>
      </c>
      <c r="K3" s="3">
        <f t="shared" si="1"/>
        <v>-199</v>
      </c>
      <c r="L3" s="4">
        <f t="shared" si="2"/>
        <v>2000</v>
      </c>
      <c r="M3" s="4">
        <f t="shared" si="3"/>
        <v>-1990</v>
      </c>
      <c r="N3" s="13" t="str">
        <f t="shared" si="4"/>
        <v>DO NOT SELL</v>
      </c>
      <c r="P3" s="10">
        <f>SUM(G3:G3)</f>
        <v>10</v>
      </c>
      <c r="Q3" s="9">
        <f>SUM(L3:L3)</f>
        <v>2000</v>
      </c>
    </row>
    <row r="4" spans="1:19" ht="18" customHeight="1" x14ac:dyDescent="0.2">
      <c r="G4" s="10"/>
      <c r="L4" s="9"/>
    </row>
    <row r="6" spans="1:19" ht="18" customHeight="1" x14ac:dyDescent="0.2">
      <c r="K6" s="10"/>
    </row>
  </sheetData>
  <conditionalFormatting sqref="H2:I3 K2:N3">
    <cfRule type="cellIs" dxfId="2" priority="1" operator="lessThan">
      <formula>0</formula>
    </cfRule>
  </conditionalFormatting>
  <conditionalFormatting sqref="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2025-11-14T20:26:47Z</dcterms:modified>
  <cp:category/>
  <cp:contentStatus/>
</cp:coreProperties>
</file>