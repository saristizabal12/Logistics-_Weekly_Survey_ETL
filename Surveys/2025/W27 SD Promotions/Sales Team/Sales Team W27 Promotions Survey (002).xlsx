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"/>
    </mc:Choice>
  </mc:AlternateContent>
  <xr:revisionPtr revIDLastSave="0" documentId="13_ncr:1_{A3E22BF3-7FB1-4720-BFB2-DD12ED0BA1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fference" sheetId="4" r:id="rId1"/>
  </sheets>
  <definedNames>
    <definedName name="_xlnm._FilterDatabase" localSheetId="0" hidden="1">Difference!$A$1:$J$44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4" i="4" l="1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<sst xmlns="http://schemas.openxmlformats.org/spreadsheetml/2006/main" count="183" uniqueCount="64">
  <si>
    <t>Condition Document No</t>
  </si>
  <si>
    <t>Condition Text</t>
  </si>
  <si>
    <t>Product</t>
  </si>
  <si>
    <t>Product Text</t>
  </si>
  <si>
    <t>G-S24-ULTRA</t>
  </si>
  <si>
    <t>G-S25</t>
  </si>
  <si>
    <t>G-S25-ULTRA</t>
  </si>
  <si>
    <t>SM-X520NLBATPA</t>
  </si>
  <si>
    <t>TABLET,SM-X520,LIGHT BLUE,TPA</t>
  </si>
  <si>
    <t>SM-X520NZAATPA</t>
  </si>
  <si>
    <t>TABLET,SM-X520,GRAY,TPA</t>
  </si>
  <si>
    <t>SM-X520NZSATPA</t>
  </si>
  <si>
    <t>TABLET,SM-X520,SILVER,TPA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</si>
  <si>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</si>
  <si>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</si>
  <si>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</si>
  <si>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</si>
  <si>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</si>
  <si>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</si>
  <si>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</si>
  <si>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</si>
  <si>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</si>
  <si>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</si>
  <si>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</si>
  <si>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</si>
  <si>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</si>
  <si>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</si>
  <si>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G-A06</t>
  </si>
  <si>
    <t>G-S24</t>
  </si>
  <si>
    <t>G-S24+</t>
  </si>
  <si>
    <t>G-A16</t>
  </si>
  <si>
    <t>G-A16-5G</t>
  </si>
  <si>
    <t>G-A26-5G</t>
  </si>
  <si>
    <t>G-A36-5G</t>
  </si>
  <si>
    <t>G-A56-5G</t>
  </si>
  <si>
    <t>G-S25+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</si>
  <si>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</si>
  <si>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</si>
  <si>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</si>
  <si>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</si>
  <si>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</si>
  <si>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</si>
  <si>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</si>
  <si>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</si>
  <si>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SM-X520NZSETPA</t>
  </si>
  <si>
    <t>SM-X520NLBETPA</t>
  </si>
  <si>
    <t>SM-X520NZAETPA</t>
  </si>
  <si>
    <t>SM-X620NLBETPA</t>
  </si>
  <si>
    <t>SM-X620NZAETPA</t>
  </si>
  <si>
    <t>SM-X620NZSETPA</t>
  </si>
  <si>
    <t>AS-IS Amt($)</t>
  </si>
  <si>
    <t>AS-IS Qty</t>
  </si>
  <si>
    <t>Incentive</t>
  </si>
  <si>
    <t>Invoiced</t>
  </si>
  <si>
    <t>Shipping</t>
  </si>
  <si>
    <t>A0S3A0A250000710</t>
  </si>
  <si>
    <t>VITEL W27-W29 ECO ST Promo</t>
  </si>
  <si>
    <t>A0S3A0A250000703</t>
  </si>
  <si>
    <t>A0S3A0A250000693</t>
  </si>
  <si>
    <t>VITEL W27-W29 NRM Sell-Thru Promotion</t>
  </si>
  <si>
    <t>A0S3A0A250000696</t>
  </si>
  <si>
    <t>VITEL W27 -W29 MX Sell-Thru Promotion</t>
  </si>
  <si>
    <t>Total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</si>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</sst>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B780-57D3-4F6A-88DD-530FFFCFC40C}">
  <dimension ref="A1:K44"/>
  <sheetViews>
    <sheetView showGridLines="0" tabSelected="1" zoomScaleNormal="100" workbookViewId="0">
      <pane ySplit="1" topLeftCell="A2" activePane="bottomLeft" state="frozen"/>
      <selection pane="bottomLeft" activeCell="H20" sqref="H20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16.140625" bestFit="1" customWidth="1"/>
    <col min="4" max="4" width="33" bestFit="1" customWidth="1"/>
    <col min="5" max="10" width="14.28515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51</v>
      </c>
      <c r="G1" s="1" t="s">
        <v>50</v>
      </c>
      <c r="H1" s="1" t="s">
        <v>53</v>
      </c>
      <c r="I1" s="1" t="s">
        <v>54</v>
      </c>
      <c r="J1" s="1" t="s">
        <v>62</v>
      </c>
      <c r="K1" s="1" t="s">
        <v>63</v>
      </c>
    </row>
    <row r="2" spans="1:11" x14ac:dyDescent="0.2">
      <c r="A2" s="2" t="s">
        <v>55</v>
      </c>
      <c r="B2" s="2" t="s">
        <v>56</v>
      </c>
      <c r="C2" s="2" t="s">
        <v>7</v>
      </c>
      <c r="D2" s="2" t="s">
        <v>8</v>
      </c>
      <c r="E2" s="3">
        <v>30</v>
      </c>
      <c r="F2" s="4">
        <v>333</v>
      </c>
      <c r="G2" s="3">
        <v>11550</v>
      </c>
      <c r="H2" s="5">
        <v>0</v>
      </c>
      <c r="I2" s="5">
        <v>3</v>
      </c>
      <c r="J2" s="6">
        <f t="shared" ref="J2:K44" si="0">H2+I2</f>
        <v>3</v>
      </c>
      <c r="K2" s="6">
        <f>F2-J2</f>
        <v>330</v>
      </c>
    </row>
    <row r="3" spans="1:11" x14ac:dyDescent="0.2">
      <c r="A3" s="2" t="s">
        <v>55</v>
      </c>
      <c r="B3" s="2" t="s">
        <v>56</v>
      </c>
      <c r="C3" s="2" t="s">
        <v>45</v>
      </c>
      <c r="D3" s="2" t="s">
        <v>8</v>
      </c>
      <c r="E3" s="3">
        <v>30</v>
      </c>
      <c r="F3" s="4">
        <v>1</v>
      </c>
      <c r="G3" s="3">
        <v>90</v>
      </c>
      <c r="H3" s="5">
        <v>6</v>
      </c>
      <c r="I3" s="5"/>
      <c r="J3" s="6">
        <f t="shared" si="0"/>
        <v>6</v>
      </c>
      <c r="K3" s="6">
        <f t="shared" ref="K3:K44" si="1">F3-J3</f>
        <v>-5</v>
      </c>
    </row>
    <row r="4" spans="1:11" x14ac:dyDescent="0.2">
      <c r="A4" s="2" t="s">
        <v>55</v>
      </c>
      <c r="B4" s="2" t="s">
        <v>56</v>
      </c>
      <c r="C4" s="2" t="s">
        <v>9</v>
      </c>
      <c r="D4" s="2" t="s">
        <v>10</v>
      </c>
      <c r="E4" s="3">
        <v>30</v>
      </c>
      <c r="F4" s="4">
        <v>194</v>
      </c>
      <c r="G4" s="3">
        <v>10440</v>
      </c>
      <c r="H4" s="5">
        <v>0</v>
      </c>
      <c r="I4" s="5">
        <v>4</v>
      </c>
      <c r="J4" s="6">
        <f t="shared" si="0"/>
        <v>4</v>
      </c>
      <c r="K4" s="6">
        <f t="shared" si="1"/>
        <v>190</v>
      </c>
    </row>
    <row r="5" spans="1:11" x14ac:dyDescent="0.2">
      <c r="A5" s="2" t="s">
        <v>55</v>
      </c>
      <c r="B5" s="2" t="s">
        <v>56</v>
      </c>
      <c r="C5" s="2" t="s">
        <v>46</v>
      </c>
      <c r="D5" s="2" t="s">
        <v>10</v>
      </c>
      <c r="E5" s="3">
        <v>30</v>
      </c>
      <c r="F5" s="4">
        <v>1</v>
      </c>
      <c r="G5" s="3">
        <v>90</v>
      </c>
      <c r="H5" s="5">
        <v>0</v>
      </c>
      <c r="I5" s="5"/>
      <c r="J5" s="6">
        <f t="shared" si="0"/>
        <v>0</v>
      </c>
      <c r="K5" s="6">
        <f t="shared" si="1"/>
        <v>1</v>
      </c>
    </row>
    <row r="6" spans="1:11" x14ac:dyDescent="0.2">
      <c r="A6" s="2" t="s">
        <v>55</v>
      </c>
      <c r="B6" s="2" t="s">
        <v>56</v>
      </c>
      <c r="C6" s="2" t="s">
        <v>11</v>
      </c>
      <c r="D6" s="2" t="s">
        <v>12</v>
      </c>
      <c r="E6" s="3">
        <v>30</v>
      </c>
      <c r="F6" s="4">
        <v>226</v>
      </c>
      <c r="G6" s="3">
        <v>10410</v>
      </c>
      <c r="H6" s="5">
        <v>0</v>
      </c>
      <c r="I6" s="5">
        <v>3</v>
      </c>
      <c r="J6" s="6">
        <f t="shared" si="0"/>
        <v>3</v>
      </c>
      <c r="K6" s="6">
        <f t="shared" si="1"/>
        <v>223</v>
      </c>
    </row>
    <row r="7" spans="1:11" x14ac:dyDescent="0.2">
      <c r="A7" s="2" t="s">
        <v>55</v>
      </c>
      <c r="B7" s="2" t="s">
        <v>56</v>
      </c>
      <c r="C7" s="2" t="s">
        <v>44</v>
      </c>
      <c r="D7" s="2" t="s">
        <v>12</v>
      </c>
      <c r="E7" s="3">
        <v>30</v>
      </c>
      <c r="F7" s="4">
        <v>1</v>
      </c>
      <c r="G7" s="3">
        <v>90</v>
      </c>
      <c r="H7" s="5">
        <v>0</v>
      </c>
      <c r="I7" s="5"/>
      <c r="J7" s="6">
        <f t="shared" si="0"/>
        <v>0</v>
      </c>
      <c r="K7" s="6">
        <f t="shared" si="1"/>
        <v>1</v>
      </c>
    </row>
    <row r="8" spans="1:11" x14ac:dyDescent="0.2">
      <c r="A8" s="2" t="s">
        <v>55</v>
      </c>
      <c r="B8" s="2" t="s">
        <v>56</v>
      </c>
      <c r="C8" s="2" t="s">
        <v>13</v>
      </c>
      <c r="D8" s="2" t="s">
        <v>14</v>
      </c>
      <c r="E8" s="3">
        <v>30</v>
      </c>
      <c r="F8" s="4">
        <v>121</v>
      </c>
      <c r="G8" s="3">
        <v>4050</v>
      </c>
      <c r="H8" s="5">
        <v>0</v>
      </c>
      <c r="I8" s="5">
        <v>3</v>
      </c>
      <c r="J8" s="6">
        <f t="shared" si="0"/>
        <v>3</v>
      </c>
      <c r="K8" s="6">
        <f t="shared" si="1"/>
        <v>118</v>
      </c>
    </row>
    <row r="9" spans="1:11" x14ac:dyDescent="0.2">
      <c r="A9" s="2" t="s">
        <v>55</v>
      </c>
      <c r="B9" s="2" t="s">
        <v>56</v>
      </c>
      <c r="C9" s="2" t="s">
        <v>15</v>
      </c>
      <c r="D9" s="2" t="s">
        <v>16</v>
      </c>
      <c r="E9" s="3">
        <v>30</v>
      </c>
      <c r="F9" s="4">
        <v>95</v>
      </c>
      <c r="G9" s="3">
        <v>3840</v>
      </c>
      <c r="H9" s="5">
        <v>0</v>
      </c>
      <c r="I9" s="5">
        <v>4</v>
      </c>
      <c r="J9" s="6">
        <f t="shared" si="0"/>
        <v>4</v>
      </c>
      <c r="K9" s="6">
        <f t="shared" si="1"/>
        <v>91</v>
      </c>
    </row>
    <row r="10" spans="1:11" x14ac:dyDescent="0.2">
      <c r="A10" s="2" t="s">
        <v>55</v>
      </c>
      <c r="B10" s="2" t="s">
        <v>56</v>
      </c>
      <c r="C10" s="2" t="s">
        <v>17</v>
      </c>
      <c r="D10" s="2" t="s">
        <v>18</v>
      </c>
      <c r="E10" s="3">
        <v>30</v>
      </c>
      <c r="F10" s="4">
        <v>181</v>
      </c>
      <c r="G10" s="3">
        <v>5220</v>
      </c>
      <c r="H10" s="5">
        <v>0</v>
      </c>
      <c r="I10" s="5">
        <v>3</v>
      </c>
      <c r="J10" s="6">
        <f t="shared" si="0"/>
        <v>3</v>
      </c>
      <c r="K10" s="6">
        <f t="shared" si="1"/>
        <v>178</v>
      </c>
    </row>
    <row r="11" spans="1:11" x14ac:dyDescent="0.2">
      <c r="A11" s="2" t="s">
        <v>55</v>
      </c>
      <c r="B11" s="2" t="s">
        <v>56</v>
      </c>
      <c r="C11" s="2" t="s">
        <v>19</v>
      </c>
      <c r="D11" s="2" t="s">
        <v>20</v>
      </c>
      <c r="E11" s="3">
        <v>30</v>
      </c>
      <c r="F11" s="4">
        <v>96</v>
      </c>
      <c r="G11" s="3">
        <v>4860</v>
      </c>
      <c r="H11" s="5">
        <v>0</v>
      </c>
      <c r="I11" s="5">
        <v>3</v>
      </c>
      <c r="J11" s="6">
        <f t="shared" si="0"/>
        <v>3</v>
      </c>
      <c r="K11" s="6">
        <f t="shared" si="1"/>
        <v>93</v>
      </c>
    </row>
    <row r="12" spans="1:11" x14ac:dyDescent="0.2">
      <c r="A12" s="2" t="s">
        <v>55</v>
      </c>
      <c r="B12" s="2" t="s">
        <v>56</v>
      </c>
      <c r="C12" s="2" t="s">
        <v>47</v>
      </c>
      <c r="D12" s="2" t="s">
        <v>20</v>
      </c>
      <c r="E12" s="3">
        <v>30</v>
      </c>
      <c r="F12" s="4">
        <v>1</v>
      </c>
      <c r="G12" s="3">
        <v>90</v>
      </c>
      <c r="H12" s="5">
        <v>0</v>
      </c>
      <c r="I12" s="5"/>
      <c r="J12" s="6">
        <f t="shared" si="0"/>
        <v>0</v>
      </c>
      <c r="K12" s="6">
        <f t="shared" si="1"/>
        <v>1</v>
      </c>
    </row>
    <row r="13" spans="1:11" x14ac:dyDescent="0.2">
      <c r="A13" s="2" t="s">
        <v>55</v>
      </c>
      <c r="B13" s="2" t="s">
        <v>56</v>
      </c>
      <c r="C13" s="2" t="s">
        <v>21</v>
      </c>
      <c r="D13" s="2" t="s">
        <v>22</v>
      </c>
      <c r="E13" s="3">
        <v>30</v>
      </c>
      <c r="F13" s="4">
        <v>108</v>
      </c>
      <c r="G13" s="3">
        <v>6090</v>
      </c>
      <c r="H13" s="5">
        <v>0</v>
      </c>
      <c r="I13" s="5">
        <v>4</v>
      </c>
      <c r="J13" s="6">
        <f t="shared" si="0"/>
        <v>4</v>
      </c>
      <c r="K13" s="6">
        <f t="shared" si="1"/>
        <v>104</v>
      </c>
    </row>
    <row r="14" spans="1:11" x14ac:dyDescent="0.2">
      <c r="A14" s="2" t="s">
        <v>55</v>
      </c>
      <c r="B14" s="2" t="s">
        <v>56</v>
      </c>
      <c r="C14" s="2" t="s">
        <v>48</v>
      </c>
      <c r="D14" s="2" t="s">
        <v>22</v>
      </c>
      <c r="E14" s="3">
        <v>30</v>
      </c>
      <c r="F14" s="4">
        <v>1</v>
      </c>
      <c r="G14" s="3">
        <v>90</v>
      </c>
      <c r="H14" s="5">
        <v>0</v>
      </c>
      <c r="I14" s="5"/>
      <c r="J14" s="6">
        <f t="shared" si="0"/>
        <v>0</v>
      </c>
      <c r="K14" s="6">
        <f t="shared" si="1"/>
        <v>1</v>
      </c>
    </row>
    <row r="15" spans="1:11" x14ac:dyDescent="0.2">
      <c r="A15" s="2" t="s">
        <v>55</v>
      </c>
      <c r="B15" s="2" t="s">
        <v>56</v>
      </c>
      <c r="C15" s="2" t="s">
        <v>23</v>
      </c>
      <c r="D15" s="2" t="s">
        <v>24</v>
      </c>
      <c r="E15" s="3">
        <v>30</v>
      </c>
      <c r="F15" s="4">
        <v>136</v>
      </c>
      <c r="G15" s="3">
        <v>6030</v>
      </c>
      <c r="H15" s="5">
        <v>0</v>
      </c>
      <c r="I15" s="5">
        <v>3</v>
      </c>
      <c r="J15" s="6">
        <f t="shared" si="0"/>
        <v>3</v>
      </c>
      <c r="K15" s="6">
        <f t="shared" si="1"/>
        <v>133</v>
      </c>
    </row>
    <row r="16" spans="1:11" x14ac:dyDescent="0.2">
      <c r="A16" s="2" t="s">
        <v>55</v>
      </c>
      <c r="B16" s="2" t="s">
        <v>56</v>
      </c>
      <c r="C16" s="2" t="s">
        <v>49</v>
      </c>
      <c r="D16" s="2" t="s">
        <v>24</v>
      </c>
      <c r="E16" s="3">
        <v>30</v>
      </c>
      <c r="F16" s="4">
        <v>1</v>
      </c>
      <c r="G16" s="3">
        <v>90</v>
      </c>
      <c r="H16" s="5">
        <v>0</v>
      </c>
      <c r="I16" s="5"/>
      <c r="J16" s="6">
        <f t="shared" si="0"/>
        <v>0</v>
      </c>
      <c r="K16" s="6">
        <f t="shared" si="1"/>
        <v>1</v>
      </c>
    </row>
    <row r="17" spans="1:11" x14ac:dyDescent="0.2">
      <c r="A17" s="2" t="s">
        <v>55</v>
      </c>
      <c r="B17" s="2" t="s">
        <v>56</v>
      </c>
      <c r="C17" s="2" t="s">
        <v>25</v>
      </c>
      <c r="D17" s="2" t="s">
        <v>26</v>
      </c>
      <c r="E17" s="3">
        <v>30</v>
      </c>
      <c r="F17" s="4">
        <v>54</v>
      </c>
      <c r="G17" s="3">
        <v>2790</v>
      </c>
      <c r="H17" s="5">
        <v>0</v>
      </c>
      <c r="I17" s="5">
        <v>10</v>
      </c>
      <c r="J17" s="6">
        <f t="shared" si="0"/>
        <v>10</v>
      </c>
      <c r="K17" s="6">
        <f t="shared" si="1"/>
        <v>44</v>
      </c>
    </row>
    <row r="18" spans="1:11" x14ac:dyDescent="0.2">
      <c r="A18" s="2" t="s">
        <v>55</v>
      </c>
      <c r="B18" s="2" t="s">
        <v>56</v>
      </c>
      <c r="C18" s="2" t="s">
        <v>36</v>
      </c>
      <c r="D18" s="2" t="s">
        <v>37</v>
      </c>
      <c r="E18" s="3">
        <v>30</v>
      </c>
      <c r="F18" s="4">
        <v>210</v>
      </c>
      <c r="G18" s="3">
        <v>3480</v>
      </c>
      <c r="H18" s="5">
        <v>0</v>
      </c>
      <c r="I18" s="5">
        <v>3</v>
      </c>
      <c r="J18" s="6">
        <f t="shared" si="0"/>
        <v>3</v>
      </c>
      <c r="K18" s="6">
        <f t="shared" si="1"/>
        <v>207</v>
      </c>
    </row>
    <row r="19" spans="1:11" x14ac:dyDescent="0.2">
      <c r="A19" s="2" t="s">
        <v>55</v>
      </c>
      <c r="B19" s="2" t="s">
        <v>56</v>
      </c>
      <c r="C19" s="2" t="s">
        <v>38</v>
      </c>
      <c r="D19" s="2" t="s">
        <v>39</v>
      </c>
      <c r="E19" s="3">
        <v>30</v>
      </c>
      <c r="F19" s="4">
        <v>286</v>
      </c>
      <c r="G19" s="3">
        <v>5550</v>
      </c>
      <c r="H19" s="5">
        <v>0</v>
      </c>
      <c r="I19" s="5">
        <v>3</v>
      </c>
      <c r="J19" s="6">
        <f t="shared" si="0"/>
        <v>3</v>
      </c>
      <c r="K19" s="6">
        <f t="shared" si="1"/>
        <v>283</v>
      </c>
    </row>
    <row r="20" spans="1:11" x14ac:dyDescent="0.2">
      <c r="A20" s="2" t="s">
        <v>55</v>
      </c>
      <c r="B20" s="2" t="s">
        <v>56</v>
      </c>
      <c r="C20" s="2" t="s">
        <v>40</v>
      </c>
      <c r="D20" s="2" t="s">
        <v>41</v>
      </c>
      <c r="E20" s="3">
        <v>30</v>
      </c>
      <c r="F20" s="4">
        <v>205</v>
      </c>
      <c r="G20" s="3">
        <v>3930</v>
      </c>
      <c r="H20" s="5">
        <v>0</v>
      </c>
      <c r="I20" s="5">
        <v>3</v>
      </c>
      <c r="J20" s="6">
        <f t="shared" si="0"/>
        <v>3</v>
      </c>
      <c r="K20" s="6">
        <f t="shared" si="1"/>
        <v>202</v>
      </c>
    </row>
    <row r="21" spans="1:11" x14ac:dyDescent="0.2">
      <c r="A21" s="2" t="s">
        <v>55</v>
      </c>
      <c r="B21" s="2" t="s">
        <v>56</v>
      </c>
      <c r="C21" s="2" t="s">
        <v>42</v>
      </c>
      <c r="D21" s="2" t="s">
        <v>43</v>
      </c>
      <c r="E21" s="3">
        <v>30</v>
      </c>
      <c r="F21" s="4">
        <v>207</v>
      </c>
      <c r="G21" s="3">
        <v>4050</v>
      </c>
      <c r="H21" s="5">
        <v>905</v>
      </c>
      <c r="I21" s="5">
        <v>3</v>
      </c>
      <c r="J21" s="6">
        <f t="shared" si="0"/>
        <v>908</v>
      </c>
      <c r="K21" s="6">
        <f t="shared" si="1"/>
        <v>-701</v>
      </c>
    </row>
    <row r="22" spans="1:11" x14ac:dyDescent="0.2">
      <c r="A22" s="2" t="s">
        <v>57</v>
      </c>
      <c r="B22" s="2" t="s">
        <v>56</v>
      </c>
      <c r="C22" s="2" t="s">
        <v>32</v>
      </c>
      <c r="D22" s="2" t="s">
        <v>32</v>
      </c>
      <c r="E22" s="3">
        <v>30</v>
      </c>
      <c r="F22" s="4">
        <v>1666</v>
      </c>
      <c r="G22" s="3">
        <v>4050</v>
      </c>
      <c r="H22" s="5">
        <v>0</v>
      </c>
      <c r="I22" s="5"/>
      <c r="J22" s="6">
        <f t="shared" si="0"/>
        <v>0</v>
      </c>
      <c r="K22" s="6">
        <f t="shared" si="1"/>
        <v>1666</v>
      </c>
    </row>
    <row r="23" spans="1:11" x14ac:dyDescent="0.2">
      <c r="A23" s="2" t="s">
        <v>58</v>
      </c>
      <c r="B23" s="2" t="s">
        <v>59</v>
      </c>
      <c r="C23" s="2" t="s">
        <v>27</v>
      </c>
      <c r="D23" s="2" t="s">
        <v>27</v>
      </c>
      <c r="E23" s="3">
        <v>10</v>
      </c>
      <c r="F23" s="4">
        <v>3750</v>
      </c>
      <c r="G23" s="3">
        <v>7440</v>
      </c>
      <c r="H23" s="5">
        <v>120</v>
      </c>
      <c r="I23" s="5"/>
      <c r="J23" s="6">
        <f t="shared" si="0"/>
        <v>120</v>
      </c>
      <c r="K23" s="6">
        <f t="shared" si="1"/>
        <v>3630</v>
      </c>
    </row>
    <row r="24" spans="1:11" x14ac:dyDescent="0.2">
      <c r="A24" s="2" t="s">
        <v>58</v>
      </c>
      <c r="B24" s="2" t="s">
        <v>59</v>
      </c>
      <c r="C24" s="2" t="s">
        <v>30</v>
      </c>
      <c r="D24" s="2" t="s">
        <v>30</v>
      </c>
      <c r="E24" s="3">
        <v>10</v>
      </c>
      <c r="F24" s="4">
        <v>3360</v>
      </c>
      <c r="G24" s="3">
        <v>11200</v>
      </c>
      <c r="H24" s="5">
        <v>28</v>
      </c>
      <c r="I24" s="5">
        <v>2174</v>
      </c>
      <c r="J24" s="6">
        <f t="shared" si="0"/>
        <v>2202</v>
      </c>
      <c r="K24" s="6">
        <f t="shared" si="1"/>
        <v>1158</v>
      </c>
    </row>
    <row r="25" spans="1:11" x14ac:dyDescent="0.2">
      <c r="A25" s="2" t="s">
        <v>58</v>
      </c>
      <c r="B25" s="2" t="s">
        <v>59</v>
      </c>
      <c r="C25" s="2" t="s">
        <v>31</v>
      </c>
      <c r="D25" s="2" t="s">
        <v>31</v>
      </c>
      <c r="E25" s="3">
        <v>5</v>
      </c>
      <c r="F25" s="4">
        <v>840</v>
      </c>
      <c r="G25" s="3">
        <v>1400</v>
      </c>
      <c r="H25" s="5">
        <v>70</v>
      </c>
      <c r="I25" s="5"/>
      <c r="J25" s="6">
        <f t="shared" si="0"/>
        <v>70</v>
      </c>
      <c r="K25" s="6">
        <f t="shared" si="1"/>
        <v>770</v>
      </c>
    </row>
    <row r="26" spans="1:11" x14ac:dyDescent="0.2">
      <c r="A26" s="2" t="s">
        <v>58</v>
      </c>
      <c r="B26" s="2" t="s">
        <v>59</v>
      </c>
      <c r="C26" s="2" t="s">
        <v>33</v>
      </c>
      <c r="D26" s="2" t="s">
        <v>33</v>
      </c>
      <c r="E26" s="3">
        <v>10</v>
      </c>
      <c r="F26" s="4">
        <v>1260</v>
      </c>
      <c r="G26" s="3">
        <v>4200</v>
      </c>
      <c r="H26" s="5">
        <v>311</v>
      </c>
      <c r="I26" s="5"/>
      <c r="J26" s="6">
        <f t="shared" si="0"/>
        <v>311</v>
      </c>
      <c r="K26" s="6">
        <f t="shared" si="1"/>
        <v>949</v>
      </c>
    </row>
    <row r="27" spans="1:11" x14ac:dyDescent="0.2">
      <c r="A27" s="2" t="s">
        <v>58</v>
      </c>
      <c r="B27" s="2" t="s">
        <v>59</v>
      </c>
      <c r="C27" s="2" t="s">
        <v>34</v>
      </c>
      <c r="D27" s="2" t="s">
        <v>34</v>
      </c>
      <c r="E27" s="3">
        <v>10</v>
      </c>
      <c r="F27" s="4">
        <v>2100</v>
      </c>
      <c r="G27" s="3">
        <v>7000</v>
      </c>
      <c r="H27" s="5">
        <v>0</v>
      </c>
      <c r="I27" s="5"/>
      <c r="J27" s="6">
        <f t="shared" si="0"/>
        <v>0</v>
      </c>
      <c r="K27" s="6">
        <f t="shared" si="1"/>
        <v>2100</v>
      </c>
    </row>
    <row r="28" spans="1:11" x14ac:dyDescent="0.2">
      <c r="A28" s="2" t="s">
        <v>58</v>
      </c>
      <c r="B28" s="2" t="s">
        <v>59</v>
      </c>
      <c r="C28" s="2" t="s">
        <v>28</v>
      </c>
      <c r="D28" s="2" t="s">
        <v>28</v>
      </c>
      <c r="E28" s="3">
        <v>10</v>
      </c>
      <c r="F28" s="4">
        <v>21</v>
      </c>
      <c r="G28" s="3">
        <v>70</v>
      </c>
      <c r="H28" s="5">
        <v>27</v>
      </c>
      <c r="I28" s="5"/>
      <c r="J28" s="6">
        <f t="shared" si="0"/>
        <v>27</v>
      </c>
      <c r="K28" s="6">
        <f t="shared" si="1"/>
        <v>-6</v>
      </c>
    </row>
    <row r="29" spans="1:11" x14ac:dyDescent="0.2">
      <c r="A29" s="2" t="s">
        <v>58</v>
      </c>
      <c r="B29" s="2" t="s">
        <v>59</v>
      </c>
      <c r="C29" s="2" t="s">
        <v>29</v>
      </c>
      <c r="D29" s="2" t="s">
        <v>29</v>
      </c>
      <c r="E29" s="3">
        <v>10</v>
      </c>
      <c r="F29" s="4">
        <v>21</v>
      </c>
      <c r="G29" s="3">
        <v>70</v>
      </c>
      <c r="H29" s="5">
        <v>156</v>
      </c>
      <c r="I29" s="5"/>
      <c r="J29" s="6">
        <f t="shared" si="0"/>
        <v>156</v>
      </c>
      <c r="K29" s="6">
        <f t="shared" si="1"/>
        <v>-135</v>
      </c>
    </row>
    <row r="30" spans="1:11" x14ac:dyDescent="0.2">
      <c r="A30" s="2" t="s">
        <v>58</v>
      </c>
      <c r="B30" s="2" t="s">
        <v>59</v>
      </c>
      <c r="C30" s="2" t="s">
        <v>4</v>
      </c>
      <c r="D30" s="2" t="s">
        <v>4</v>
      </c>
      <c r="E30" s="3">
        <v>30</v>
      </c>
      <c r="F30" s="4">
        <v>315</v>
      </c>
      <c r="G30" s="3">
        <v>3150</v>
      </c>
      <c r="H30" s="5">
        <v>20</v>
      </c>
      <c r="I30" s="5"/>
      <c r="J30" s="6">
        <f t="shared" si="0"/>
        <v>20</v>
      </c>
      <c r="K30" s="6">
        <f t="shared" si="1"/>
        <v>295</v>
      </c>
    </row>
    <row r="31" spans="1:11" x14ac:dyDescent="0.2">
      <c r="A31" s="2" t="s">
        <v>58</v>
      </c>
      <c r="B31" s="2" t="s">
        <v>59</v>
      </c>
      <c r="C31" s="2" t="s">
        <v>5</v>
      </c>
      <c r="D31" s="2" t="s">
        <v>5</v>
      </c>
      <c r="E31" s="3">
        <v>30</v>
      </c>
      <c r="F31" s="4">
        <v>126</v>
      </c>
      <c r="G31" s="3">
        <v>1260</v>
      </c>
      <c r="H31" s="5">
        <v>25</v>
      </c>
      <c r="I31" s="5"/>
      <c r="J31" s="6">
        <f t="shared" si="0"/>
        <v>25</v>
      </c>
      <c r="K31" s="6">
        <f t="shared" si="1"/>
        <v>101</v>
      </c>
    </row>
    <row r="32" spans="1:11" x14ac:dyDescent="0.2">
      <c r="A32" s="2" t="s">
        <v>58</v>
      </c>
      <c r="B32" s="2" t="s">
        <v>59</v>
      </c>
      <c r="C32" s="2" t="s">
        <v>35</v>
      </c>
      <c r="D32" s="2" t="s">
        <v>35</v>
      </c>
      <c r="E32" s="3">
        <v>30</v>
      </c>
      <c r="F32" s="4">
        <v>126</v>
      </c>
      <c r="G32" s="3">
        <v>1260</v>
      </c>
      <c r="H32" s="5">
        <v>210</v>
      </c>
      <c r="I32" s="5"/>
      <c r="J32" s="6">
        <f t="shared" si="0"/>
        <v>210</v>
      </c>
      <c r="K32" s="6">
        <f t="shared" si="1"/>
        <v>-84</v>
      </c>
    </row>
    <row r="33" spans="1:11" x14ac:dyDescent="0.2">
      <c r="A33" s="2" t="s">
        <v>58</v>
      </c>
      <c r="B33" s="2" t="s">
        <v>59</v>
      </c>
      <c r="C33" s="2" t="s">
        <v>6</v>
      </c>
      <c r="D33" s="2" t="s">
        <v>6</v>
      </c>
      <c r="E33" s="3">
        <v>30</v>
      </c>
      <c r="F33" s="4">
        <v>420</v>
      </c>
      <c r="G33" s="3">
        <v>4200</v>
      </c>
      <c r="H33" s="5">
        <v>2170</v>
      </c>
      <c r="I33" s="5"/>
      <c r="J33" s="6">
        <f t="shared" si="0"/>
        <v>2170</v>
      </c>
      <c r="K33" s="6">
        <f t="shared" si="1"/>
        <v>-1750</v>
      </c>
    </row>
    <row r="34" spans="1:11" x14ac:dyDescent="0.2">
      <c r="A34" s="2" t="s">
        <v>60</v>
      </c>
      <c r="B34" s="2" t="s">
        <v>61</v>
      </c>
      <c r="C34" s="2" t="s">
        <v>27</v>
      </c>
      <c r="D34" s="2" t="s">
        <v>27</v>
      </c>
      <c r="E34" s="3">
        <v>10</v>
      </c>
      <c r="F34" s="4">
        <v>1630</v>
      </c>
      <c r="G34" s="3">
        <v>7440</v>
      </c>
      <c r="H34" s="5">
        <v>1003</v>
      </c>
      <c r="I34" s="5">
        <v>5310</v>
      </c>
      <c r="J34" s="6">
        <f t="shared" si="0"/>
        <v>6313</v>
      </c>
      <c r="K34" s="6">
        <f t="shared" si="1"/>
        <v>-4683</v>
      </c>
    </row>
    <row r="35" spans="1:11" x14ac:dyDescent="0.2">
      <c r="A35" s="2" t="s">
        <v>60</v>
      </c>
      <c r="B35" s="2" t="s">
        <v>61</v>
      </c>
      <c r="C35" s="2" t="s">
        <v>30</v>
      </c>
      <c r="D35" s="2" t="s">
        <v>30</v>
      </c>
      <c r="E35" s="3">
        <v>10</v>
      </c>
      <c r="F35" s="4">
        <v>4238</v>
      </c>
      <c r="G35" s="3">
        <v>4620</v>
      </c>
      <c r="H35" s="5">
        <v>209</v>
      </c>
      <c r="I35" s="5">
        <v>987</v>
      </c>
      <c r="J35" s="6">
        <f t="shared" si="0"/>
        <v>1196</v>
      </c>
      <c r="K35" s="6">
        <f t="shared" si="1"/>
        <v>3042</v>
      </c>
    </row>
    <row r="36" spans="1:11" x14ac:dyDescent="0.2">
      <c r="A36" s="2" t="s">
        <v>60</v>
      </c>
      <c r="B36" s="2" t="s">
        <v>61</v>
      </c>
      <c r="C36" s="2" t="s">
        <v>31</v>
      </c>
      <c r="D36" s="2" t="s">
        <v>31</v>
      </c>
      <c r="E36" s="3">
        <v>5</v>
      </c>
      <c r="F36" s="4">
        <v>639</v>
      </c>
      <c r="G36" s="3">
        <v>555</v>
      </c>
      <c r="H36" s="5">
        <v>200</v>
      </c>
      <c r="I36" s="5"/>
      <c r="J36" s="6">
        <f t="shared" si="0"/>
        <v>200</v>
      </c>
      <c r="K36" s="6">
        <f t="shared" si="1"/>
        <v>439</v>
      </c>
    </row>
    <row r="37" spans="1:11" x14ac:dyDescent="0.2">
      <c r="A37" s="2" t="s">
        <v>60</v>
      </c>
      <c r="B37" s="2" t="s">
        <v>61</v>
      </c>
      <c r="C37" s="2" t="s">
        <v>33</v>
      </c>
      <c r="D37" s="2" t="s">
        <v>33</v>
      </c>
      <c r="E37" s="3">
        <v>10</v>
      </c>
      <c r="F37" s="4">
        <v>892</v>
      </c>
      <c r="G37" s="3">
        <v>2470</v>
      </c>
      <c r="H37" s="5">
        <v>200</v>
      </c>
      <c r="I37" s="5"/>
      <c r="J37" s="6">
        <f t="shared" si="0"/>
        <v>200</v>
      </c>
      <c r="K37" s="6">
        <f t="shared" si="1"/>
        <v>692</v>
      </c>
    </row>
    <row r="38" spans="1:11" x14ac:dyDescent="0.2">
      <c r="A38" s="2" t="s">
        <v>60</v>
      </c>
      <c r="B38" s="2" t="s">
        <v>61</v>
      </c>
      <c r="C38" s="2" t="s">
        <v>34</v>
      </c>
      <c r="D38" s="2" t="s">
        <v>34</v>
      </c>
      <c r="E38" s="3">
        <v>10</v>
      </c>
      <c r="F38" s="4">
        <v>827</v>
      </c>
      <c r="G38" s="3">
        <v>2110</v>
      </c>
      <c r="H38" s="5">
        <v>0</v>
      </c>
      <c r="I38" s="5"/>
      <c r="J38" s="6">
        <f t="shared" si="0"/>
        <v>0</v>
      </c>
      <c r="K38" s="6">
        <f t="shared" si="1"/>
        <v>827</v>
      </c>
    </row>
    <row r="39" spans="1:11" x14ac:dyDescent="0.2">
      <c r="A39" s="2" t="s">
        <v>60</v>
      </c>
      <c r="B39" s="2" t="s">
        <v>61</v>
      </c>
      <c r="C39" s="2" t="s">
        <v>28</v>
      </c>
      <c r="D39" s="2" t="s">
        <v>28</v>
      </c>
      <c r="E39" s="3">
        <v>10</v>
      </c>
      <c r="F39" s="4">
        <v>64</v>
      </c>
      <c r="G39" s="3">
        <v>190</v>
      </c>
      <c r="H39" s="5">
        <v>0</v>
      </c>
      <c r="I39" s="5"/>
      <c r="J39" s="6">
        <f t="shared" si="0"/>
        <v>0</v>
      </c>
      <c r="K39" s="6">
        <f t="shared" si="1"/>
        <v>64</v>
      </c>
    </row>
    <row r="40" spans="1:11" x14ac:dyDescent="0.2">
      <c r="A40" s="2" t="s">
        <v>60</v>
      </c>
      <c r="B40" s="2" t="s">
        <v>61</v>
      </c>
      <c r="C40" s="2" t="s">
        <v>29</v>
      </c>
      <c r="D40" s="2" t="s">
        <v>29</v>
      </c>
      <c r="E40" s="3">
        <v>10</v>
      </c>
      <c r="F40" s="4">
        <v>250</v>
      </c>
      <c r="G40" s="3">
        <v>630</v>
      </c>
      <c r="H40" s="5">
        <v>100</v>
      </c>
      <c r="I40" s="5"/>
      <c r="J40" s="6">
        <f t="shared" si="0"/>
        <v>100</v>
      </c>
      <c r="K40" s="6">
        <f t="shared" si="1"/>
        <v>150</v>
      </c>
    </row>
    <row r="41" spans="1:11" x14ac:dyDescent="0.2">
      <c r="A41" s="2" t="s">
        <v>60</v>
      </c>
      <c r="B41" s="2" t="s">
        <v>61</v>
      </c>
      <c r="C41" s="2" t="s">
        <v>4</v>
      </c>
      <c r="D41" s="2" t="s">
        <v>4</v>
      </c>
      <c r="E41" s="3">
        <v>30</v>
      </c>
      <c r="F41" s="4">
        <v>513</v>
      </c>
      <c r="G41" s="3">
        <v>3060</v>
      </c>
      <c r="H41" s="5">
        <v>40</v>
      </c>
      <c r="I41" s="5"/>
      <c r="J41" s="6">
        <f t="shared" si="0"/>
        <v>40</v>
      </c>
      <c r="K41" s="6">
        <f t="shared" si="1"/>
        <v>473</v>
      </c>
    </row>
    <row r="42" spans="1:11" x14ac:dyDescent="0.2">
      <c r="A42" s="2" t="s">
        <v>60</v>
      </c>
      <c r="B42" s="2" t="s">
        <v>61</v>
      </c>
      <c r="C42" s="2" t="s">
        <v>5</v>
      </c>
      <c r="D42" s="2" t="s">
        <v>5</v>
      </c>
      <c r="E42" s="3">
        <v>30</v>
      </c>
      <c r="F42" s="4">
        <v>125</v>
      </c>
      <c r="G42" s="3">
        <v>1290</v>
      </c>
      <c r="H42" s="5">
        <v>0</v>
      </c>
      <c r="I42" s="5"/>
      <c r="J42" s="6">
        <f t="shared" si="0"/>
        <v>0</v>
      </c>
      <c r="K42" s="6">
        <f t="shared" si="1"/>
        <v>125</v>
      </c>
    </row>
    <row r="43" spans="1:11" x14ac:dyDescent="0.2">
      <c r="A43" s="2" t="s">
        <v>60</v>
      </c>
      <c r="B43" s="2" t="s">
        <v>61</v>
      </c>
      <c r="C43" s="2" t="s">
        <v>35</v>
      </c>
      <c r="D43" s="2" t="s">
        <v>35</v>
      </c>
      <c r="E43" s="3">
        <v>30</v>
      </c>
      <c r="F43" s="4">
        <v>87</v>
      </c>
      <c r="G43" s="3">
        <v>1140</v>
      </c>
      <c r="H43" s="5">
        <v>0</v>
      </c>
      <c r="I43" s="5"/>
      <c r="J43" s="6">
        <f t="shared" si="0"/>
        <v>0</v>
      </c>
      <c r="K43" s="6">
        <f t="shared" si="1"/>
        <v>87</v>
      </c>
    </row>
    <row r="44" spans="1:11" x14ac:dyDescent="0.2">
      <c r="A44" s="2" t="s">
        <v>60</v>
      </c>
      <c r="B44" s="2" t="s">
        <v>61</v>
      </c>
      <c r="C44" s="2" t="s">
        <v>6</v>
      </c>
      <c r="D44" s="2" t="s">
        <v>6</v>
      </c>
      <c r="E44" s="3">
        <v>30</v>
      </c>
      <c r="F44" s="4">
        <v>431</v>
      </c>
      <c r="G44" s="3">
        <v>5040</v>
      </c>
      <c r="H44" s="5"/>
      <c r="I44" s="5"/>
      <c r="J44" s="6">
        <f t="shared" si="0"/>
        <v>0</v>
      </c>
      <c r="K44" s="6">
        <f t="shared" si="1"/>
        <v>431</v>
      </c>
    </row>
  </sheetData>
  <conditionalFormatting sqref="H2:I44">
    <cfRule type="cellIs" dxfId="2" priority="2" operator="lessThan">
      <formula>0</formula>
    </cfRule>
  </conditionalFormatting>
  <conditionalFormatting sqref="K2:K44">
    <cfRule type="cellIs" dxfId="0" priority="1" operator="lessThan">
      <formula>0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2025-07-03T20:57:19Z</dcterms:modified>
  <cp:category/>
</cp:coreProperties>
</file>