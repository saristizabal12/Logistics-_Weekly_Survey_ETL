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eek 27\"/>
    </mc:Choice>
  </mc:AlternateContent>
  <xr:revisionPtr revIDLastSave="0" documentId="13_ncr:1_{9689F76A-4A48-4C95-AAB7-EAF8353DAE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NLY Shipping" sheetId="6" r:id="rId1"/>
    <sheet name="Samsung" sheetId="2" r:id="rId2"/>
  </sheets>
  <definedNames>
    <definedName name="_xlnm._FilterDatabase" localSheetId="0" hidden="1">'ONLY Shipping'!$A$1:$O$15</definedName>
    <definedName name="_xlnm._FilterDatabase" localSheetId="1" hidden="1">Samsung!$A$1:$O$15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5" i="6" l="1"/>
  <c r="K15" i="6"/>
  <c r="M15" i="6" s="1"/>
  <c r="L14" i="6"/>
  <c r="K14" i="6"/>
  <c r="M14" i="6" s="1"/>
  <c r="L13" i="6"/>
  <c r="K13" i="6"/>
  <c r="M13" i="6" s="1"/>
  <c r="L12" i="6"/>
  <c r="K12" i="6"/>
  <c r="M12" i="6" s="1"/>
  <c r="L11" i="6"/>
  <c r="K11" i="6"/>
  <c r="M11" i="6" s="1"/>
  <c r="L10" i="6"/>
  <c r="K10" i="6"/>
  <c r="M10" i="6" s="1"/>
  <c r="L9" i="6"/>
  <c r="K9" i="6"/>
  <c r="M9" i="6" s="1"/>
  <c r="L8" i="6"/>
  <c r="K8" i="6"/>
  <c r="M8" i="6" s="1"/>
  <c r="L7" i="6"/>
  <c r="K7" i="6"/>
  <c r="M7" i="6" s="1"/>
  <c r="L6" i="6"/>
  <c r="K6" i="6"/>
  <c r="M6" i="6" s="1"/>
  <c r="L5" i="6"/>
  <c r="K5" i="6"/>
  <c r="M5" i="6" s="1"/>
  <c r="L4" i="6"/>
  <c r="K4" i="6"/>
  <c r="M4" i="6" s="1"/>
  <c r="L3" i="6"/>
  <c r="K3" i="6"/>
  <c r="M3" i="6" s="1"/>
  <c r="L2" i="6"/>
  <c r="K2" i="6"/>
  <c r="M2" i="6" s="1"/>
  <c r="L15" i="2"/>
  <c r="K15" i="2"/>
  <c r="M15" i="2" s="1"/>
  <c r="L14" i="2"/>
  <c r="K14" i="2"/>
  <c r="M14" i="2" s="1"/>
  <c r="L13" i="2"/>
  <c r="K13" i="2"/>
  <c r="M13" i="2" s="1"/>
  <c r="L12" i="2"/>
  <c r="K12" i="2"/>
  <c r="M12" i="2" s="1"/>
  <c r="L11" i="2"/>
  <c r="K11" i="2"/>
  <c r="M11" i="2" s="1"/>
  <c r="L10" i="2"/>
  <c r="K10" i="2"/>
  <c r="M10" i="2" s="1"/>
  <c r="L9" i="2"/>
  <c r="K9" i="2"/>
  <c r="M9" i="2" s="1"/>
  <c r="L8" i="2"/>
  <c r="K8" i="2"/>
  <c r="M8" i="2" s="1"/>
  <c r="L7" i="2"/>
  <c r="K7" i="2"/>
  <c r="M7" i="2" s="1"/>
  <c r="L6" i="2"/>
  <c r="K6" i="2"/>
  <c r="M6" i="2" s="1"/>
  <c r="L5" i="2"/>
  <c r="K5" i="2"/>
  <c r="M5" i="2" s="1"/>
  <c r="L4" i="2"/>
  <c r="K4" i="2"/>
  <c r="M4" i="2" s="1"/>
  <c r="L3" i="2"/>
  <c r="K3" i="2"/>
  <c r="M3" i="2" s="1"/>
  <c r="L2" i="2"/>
  <c r="K2" i="2"/>
  <c r="M2" i="2" s="1"/>
</calcChain>
</file>

<file path=xl/sharedStrings.xml><?xml version="1.0" encoding="utf-8"?>
<sst xmlns="http://schemas.openxmlformats.org/spreadsheetml/2006/main" count="198" uniqueCount="36">
  <si>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</si>
  <si>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</si>
  <si>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</si>
  <si>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</si>
  <si>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</si>
  <si>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</si>
  <si>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</si>
  <si>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</si>
  <si>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G-S24-ULTRA</t>
  </si>
  <si>
    <t>G-S25</t>
  </si>
  <si>
    <t>G-S25-ULTRA</t>
  </si>
  <si>
    <t>VITEL MOBILE, INC.</t>
  </si>
  <si>
    <t>G-A06</t>
  </si>
  <si>
    <t>G-S24</t>
  </si>
  <si>
    <t>G-S24+</t>
  </si>
  <si>
    <t>SM-M556BLGMTPA</t>
  </si>
  <si>
    <t>MOBILE,SM-M556B/DS,LIGHT GREEN,TPA</t>
  </si>
  <si>
    <t>SM-M556BZKMTPA</t>
  </si>
  <si>
    <t>MOBILE,SM-M556B/DS,BLACK,TPA</t>
  </si>
  <si>
    <t>G-A16</t>
  </si>
  <si>
    <t>G-A16-5G</t>
  </si>
  <si>
    <t>G-A26-5G</t>
  </si>
  <si>
    <t>G-A36-5G</t>
  </si>
  <si>
    <t>G-A56-5G</t>
  </si>
  <si>
    <t>G-S25+</t>
  </si>
  <si>
    <t>A2S3A0A250000242</t>
  </si>
  <si>
    <t>A0S3A0A250000682</t>
  </si>
  <si>
    <t>VITEL W26 MX Sell-Thru Promotion</t>
  </si>
  <si>
    <t>AS-IS Amt($)</t>
  </si>
  <si>
    <t>AS-IS Qty</t>
  </si>
  <si>
    <t>Incentive</t>
  </si>
  <si>
    <t>TO-BE Qty</t>
  </si>
  <si>
    <t>TO-BE Amt($)</t>
  </si>
  <si>
    <t>DELTA Qty</t>
  </si>
  <si>
    <t>DELTA Amt($)</t>
  </si>
  <si>
    <t>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</si>
</sst>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74475-5E82-4510-9AEF-5C29EE6013D4}">
  <dimension ref="A1:O15"/>
  <sheetViews>
    <sheetView showGridLines="0" tabSelected="1" zoomScale="85" zoomScaleNormal="85" workbookViewId="0">
      <pane ySplit="1" topLeftCell="A2" activePane="bottomLeft" state="frozen"/>
      <selection pane="bottomLeft" activeCell="F18" sqref="F18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29</v>
      </c>
      <c r="I1" s="1" t="s">
        <v>28</v>
      </c>
      <c r="J1" s="1" t="s">
        <v>35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7</v>
      </c>
    </row>
    <row r="2" spans="1:15" x14ac:dyDescent="0.2">
      <c r="A2" s="2" t="s">
        <v>26</v>
      </c>
      <c r="B2" s="2" t="s">
        <v>27</v>
      </c>
      <c r="C2" s="2" t="s">
        <v>25</v>
      </c>
      <c r="D2" s="2" t="s">
        <v>11</v>
      </c>
      <c r="E2" s="2" t="s">
        <v>12</v>
      </c>
      <c r="F2" s="2" t="s">
        <v>12</v>
      </c>
      <c r="G2" s="5">
        <v>10</v>
      </c>
      <c r="H2" s="6">
        <v>744</v>
      </c>
      <c r="I2" s="5">
        <v>7440</v>
      </c>
      <c r="J2" s="7">
        <v>6040</v>
      </c>
      <c r="K2" s="4">
        <f t="shared" ref="K2:K15" si="0">J2*G2</f>
        <v>60400</v>
      </c>
      <c r="L2" s="6">
        <f t="shared" ref="L2:M2" si="1">J2-H2</f>
        <v>5296</v>
      </c>
      <c r="M2" s="5">
        <f t="shared" si="1"/>
        <v>52960</v>
      </c>
      <c r="N2" s="3">
        <v>45831</v>
      </c>
      <c r="O2" s="3">
        <v>45837</v>
      </c>
    </row>
    <row r="3" spans="1:15" x14ac:dyDescent="0.2">
      <c r="A3" s="2" t="s">
        <v>26</v>
      </c>
      <c r="B3" s="2" t="s">
        <v>27</v>
      </c>
      <c r="C3" s="2" t="s">
        <v>25</v>
      </c>
      <c r="D3" s="2" t="s">
        <v>11</v>
      </c>
      <c r="E3" s="2" t="s">
        <v>19</v>
      </c>
      <c r="F3" s="2" t="s">
        <v>19</v>
      </c>
      <c r="G3" s="5">
        <v>10</v>
      </c>
      <c r="H3" s="6">
        <v>462</v>
      </c>
      <c r="I3" s="5">
        <v>4620</v>
      </c>
      <c r="J3" s="7">
        <v>204</v>
      </c>
      <c r="K3" s="4">
        <f t="shared" si="0"/>
        <v>2040</v>
      </c>
      <c r="L3" s="6">
        <f t="shared" ref="L3:M15" si="2">J3-H3</f>
        <v>-258</v>
      </c>
      <c r="M3" s="5">
        <f t="shared" si="2"/>
        <v>-2580</v>
      </c>
      <c r="N3" s="3">
        <v>45831</v>
      </c>
      <c r="O3" s="3">
        <v>45837</v>
      </c>
    </row>
    <row r="4" spans="1:15" x14ac:dyDescent="0.2">
      <c r="A4" s="2" t="s">
        <v>26</v>
      </c>
      <c r="B4" s="2" t="s">
        <v>27</v>
      </c>
      <c r="C4" s="2" t="s">
        <v>25</v>
      </c>
      <c r="D4" s="2" t="s">
        <v>11</v>
      </c>
      <c r="E4" s="2" t="s">
        <v>20</v>
      </c>
      <c r="F4" s="2" t="s">
        <v>20</v>
      </c>
      <c r="G4" s="5">
        <v>5</v>
      </c>
      <c r="H4" s="6">
        <v>111</v>
      </c>
      <c r="I4" s="5">
        <v>555</v>
      </c>
      <c r="J4" s="7"/>
      <c r="K4" s="4">
        <f t="shared" si="0"/>
        <v>0</v>
      </c>
      <c r="L4" s="6">
        <f t="shared" si="2"/>
        <v>-111</v>
      </c>
      <c r="M4" s="5">
        <f t="shared" si="2"/>
        <v>-555</v>
      </c>
      <c r="N4" s="3">
        <v>45831</v>
      </c>
      <c r="O4" s="3">
        <v>45837</v>
      </c>
    </row>
    <row r="5" spans="1:15" x14ac:dyDescent="0.2">
      <c r="A5" s="2" t="s">
        <v>26</v>
      </c>
      <c r="B5" s="2" t="s">
        <v>27</v>
      </c>
      <c r="C5" s="2" t="s">
        <v>25</v>
      </c>
      <c r="D5" s="2" t="s">
        <v>11</v>
      </c>
      <c r="E5" s="2" t="s">
        <v>21</v>
      </c>
      <c r="F5" s="2" t="s">
        <v>21</v>
      </c>
      <c r="G5" s="5">
        <v>20</v>
      </c>
      <c r="H5" s="6">
        <v>147</v>
      </c>
      <c r="I5" s="5">
        <v>2940</v>
      </c>
      <c r="J5" s="7">
        <v>152</v>
      </c>
      <c r="K5" s="4">
        <f t="shared" si="0"/>
        <v>3040</v>
      </c>
      <c r="L5" s="6">
        <f t="shared" si="2"/>
        <v>5</v>
      </c>
      <c r="M5" s="5">
        <f t="shared" si="2"/>
        <v>100</v>
      </c>
      <c r="N5" s="3">
        <v>45831</v>
      </c>
      <c r="O5" s="3">
        <v>45837</v>
      </c>
    </row>
    <row r="6" spans="1:15" x14ac:dyDescent="0.2">
      <c r="A6" s="2" t="s">
        <v>26</v>
      </c>
      <c r="B6" s="2" t="s">
        <v>27</v>
      </c>
      <c r="C6" s="2" t="s">
        <v>25</v>
      </c>
      <c r="D6" s="2" t="s">
        <v>11</v>
      </c>
      <c r="E6" s="2" t="s">
        <v>22</v>
      </c>
      <c r="F6" s="2" t="s">
        <v>22</v>
      </c>
      <c r="G6" s="5">
        <v>10</v>
      </c>
      <c r="H6" s="6">
        <v>247</v>
      </c>
      <c r="I6" s="5">
        <v>2470</v>
      </c>
      <c r="J6" s="7"/>
      <c r="K6" s="4">
        <f t="shared" si="0"/>
        <v>0</v>
      </c>
      <c r="L6" s="6">
        <f t="shared" si="2"/>
        <v>-247</v>
      </c>
      <c r="M6" s="5">
        <f t="shared" si="2"/>
        <v>-2470</v>
      </c>
      <c r="N6" s="3">
        <v>45831</v>
      </c>
      <c r="O6" s="3">
        <v>45837</v>
      </c>
    </row>
    <row r="7" spans="1:15" x14ac:dyDescent="0.2">
      <c r="A7" s="2" t="s">
        <v>26</v>
      </c>
      <c r="B7" s="2" t="s">
        <v>27</v>
      </c>
      <c r="C7" s="2" t="s">
        <v>25</v>
      </c>
      <c r="D7" s="2" t="s">
        <v>11</v>
      </c>
      <c r="E7" s="2" t="s">
        <v>23</v>
      </c>
      <c r="F7" s="2" t="s">
        <v>23</v>
      </c>
      <c r="G7" s="5">
        <v>10</v>
      </c>
      <c r="H7" s="6">
        <v>211</v>
      </c>
      <c r="I7" s="5">
        <v>2110</v>
      </c>
      <c r="J7" s="7"/>
      <c r="K7" s="4">
        <f t="shared" si="0"/>
        <v>0</v>
      </c>
      <c r="L7" s="6">
        <f t="shared" si="2"/>
        <v>-211</v>
      </c>
      <c r="M7" s="5">
        <f t="shared" si="2"/>
        <v>-2110</v>
      </c>
      <c r="N7" s="3">
        <v>45831</v>
      </c>
      <c r="O7" s="3">
        <v>45837</v>
      </c>
    </row>
    <row r="8" spans="1:15" x14ac:dyDescent="0.2">
      <c r="A8" s="2" t="s">
        <v>26</v>
      </c>
      <c r="B8" s="2" t="s">
        <v>27</v>
      </c>
      <c r="C8" s="2" t="s">
        <v>25</v>
      </c>
      <c r="D8" s="2" t="s">
        <v>11</v>
      </c>
      <c r="E8" s="2" t="s">
        <v>13</v>
      </c>
      <c r="F8" s="2" t="s">
        <v>13</v>
      </c>
      <c r="G8" s="5">
        <v>10</v>
      </c>
      <c r="H8" s="6">
        <v>19</v>
      </c>
      <c r="I8" s="5">
        <v>190</v>
      </c>
      <c r="J8" s="7"/>
      <c r="K8" s="4">
        <f t="shared" si="0"/>
        <v>0</v>
      </c>
      <c r="L8" s="6">
        <f t="shared" si="2"/>
        <v>-19</v>
      </c>
      <c r="M8" s="5">
        <f t="shared" si="2"/>
        <v>-190</v>
      </c>
      <c r="N8" s="3">
        <v>45831</v>
      </c>
      <c r="O8" s="3">
        <v>45837</v>
      </c>
    </row>
    <row r="9" spans="1:15" x14ac:dyDescent="0.2">
      <c r="A9" s="2" t="s">
        <v>26</v>
      </c>
      <c r="B9" s="2" t="s">
        <v>27</v>
      </c>
      <c r="C9" s="2" t="s">
        <v>25</v>
      </c>
      <c r="D9" s="2" t="s">
        <v>11</v>
      </c>
      <c r="E9" s="2" t="s">
        <v>14</v>
      </c>
      <c r="F9" s="2" t="s">
        <v>14</v>
      </c>
      <c r="G9" s="5">
        <v>10</v>
      </c>
      <c r="H9" s="6">
        <v>63</v>
      </c>
      <c r="I9" s="5">
        <v>630</v>
      </c>
      <c r="J9" s="7"/>
      <c r="K9" s="4">
        <f t="shared" si="0"/>
        <v>0</v>
      </c>
      <c r="L9" s="6">
        <f t="shared" si="2"/>
        <v>-63</v>
      </c>
      <c r="M9" s="5">
        <f t="shared" si="2"/>
        <v>-630</v>
      </c>
      <c r="N9" s="3">
        <v>45831</v>
      </c>
      <c r="O9" s="3">
        <v>45837</v>
      </c>
    </row>
    <row r="10" spans="1:15" x14ac:dyDescent="0.2">
      <c r="A10" s="2" t="s">
        <v>26</v>
      </c>
      <c r="B10" s="2" t="s">
        <v>27</v>
      </c>
      <c r="C10" s="2" t="s">
        <v>25</v>
      </c>
      <c r="D10" s="2" t="s">
        <v>11</v>
      </c>
      <c r="E10" s="2" t="s">
        <v>8</v>
      </c>
      <c r="F10" s="2" t="s">
        <v>8</v>
      </c>
      <c r="G10" s="5">
        <v>30</v>
      </c>
      <c r="H10" s="6">
        <v>102</v>
      </c>
      <c r="I10" s="5">
        <v>3060</v>
      </c>
      <c r="J10" s="7">
        <v>100</v>
      </c>
      <c r="K10" s="4">
        <f t="shared" si="0"/>
        <v>3000</v>
      </c>
      <c r="L10" s="6">
        <f t="shared" si="2"/>
        <v>-2</v>
      </c>
      <c r="M10" s="5">
        <f t="shared" si="2"/>
        <v>-60</v>
      </c>
      <c r="N10" s="3">
        <v>45831</v>
      </c>
      <c r="O10" s="3">
        <v>45837</v>
      </c>
    </row>
    <row r="11" spans="1:15" x14ac:dyDescent="0.2">
      <c r="A11" s="2" t="s">
        <v>26</v>
      </c>
      <c r="B11" s="2" t="s">
        <v>27</v>
      </c>
      <c r="C11" s="2" t="s">
        <v>25</v>
      </c>
      <c r="D11" s="2" t="s">
        <v>11</v>
      </c>
      <c r="E11" s="2" t="s">
        <v>9</v>
      </c>
      <c r="F11" s="2" t="s">
        <v>9</v>
      </c>
      <c r="G11" s="5">
        <v>30</v>
      </c>
      <c r="H11" s="6">
        <v>43</v>
      </c>
      <c r="I11" s="5">
        <v>1290</v>
      </c>
      <c r="J11" s="7">
        <v>40</v>
      </c>
      <c r="K11" s="4">
        <f t="shared" si="0"/>
        <v>1200</v>
      </c>
      <c r="L11" s="6">
        <f t="shared" si="2"/>
        <v>-3</v>
      </c>
      <c r="M11" s="5">
        <f t="shared" si="2"/>
        <v>-90</v>
      </c>
      <c r="N11" s="3">
        <v>45831</v>
      </c>
      <c r="O11" s="3">
        <v>45837</v>
      </c>
    </row>
    <row r="12" spans="1:15" x14ac:dyDescent="0.2">
      <c r="A12" s="2" t="s">
        <v>26</v>
      </c>
      <c r="B12" s="2" t="s">
        <v>27</v>
      </c>
      <c r="C12" s="2" t="s">
        <v>25</v>
      </c>
      <c r="D12" s="2" t="s">
        <v>11</v>
      </c>
      <c r="E12" s="2" t="s">
        <v>24</v>
      </c>
      <c r="F12" s="2" t="s">
        <v>24</v>
      </c>
      <c r="G12" s="5">
        <v>30</v>
      </c>
      <c r="H12" s="6">
        <v>38</v>
      </c>
      <c r="I12" s="5">
        <v>1140</v>
      </c>
      <c r="J12" s="7"/>
      <c r="K12" s="4">
        <f t="shared" si="0"/>
        <v>0</v>
      </c>
      <c r="L12" s="6">
        <f t="shared" si="2"/>
        <v>-38</v>
      </c>
      <c r="M12" s="5">
        <f t="shared" si="2"/>
        <v>-1140</v>
      </c>
      <c r="N12" s="3">
        <v>45831</v>
      </c>
      <c r="O12" s="3">
        <v>45837</v>
      </c>
    </row>
    <row r="13" spans="1:15" x14ac:dyDescent="0.2">
      <c r="A13" s="2" t="s">
        <v>26</v>
      </c>
      <c r="B13" s="2" t="s">
        <v>27</v>
      </c>
      <c r="C13" s="2" t="s">
        <v>25</v>
      </c>
      <c r="D13" s="2" t="s">
        <v>11</v>
      </c>
      <c r="E13" s="2" t="s">
        <v>10</v>
      </c>
      <c r="F13" s="2" t="s">
        <v>10</v>
      </c>
      <c r="G13" s="5">
        <v>30</v>
      </c>
      <c r="H13" s="6">
        <v>168</v>
      </c>
      <c r="I13" s="5">
        <v>5040</v>
      </c>
      <c r="J13" s="7"/>
      <c r="K13" s="4">
        <f t="shared" si="0"/>
        <v>0</v>
      </c>
      <c r="L13" s="6">
        <f t="shared" si="2"/>
        <v>-168</v>
      </c>
      <c r="M13" s="5">
        <f t="shared" si="2"/>
        <v>-5040</v>
      </c>
      <c r="N13" s="3">
        <v>45831</v>
      </c>
      <c r="O13" s="3">
        <v>45837</v>
      </c>
    </row>
    <row r="14" spans="1:15" x14ac:dyDescent="0.2">
      <c r="A14" s="2" t="s">
        <v>26</v>
      </c>
      <c r="B14" s="2" t="s">
        <v>27</v>
      </c>
      <c r="C14" s="2" t="s">
        <v>25</v>
      </c>
      <c r="D14" s="2" t="s">
        <v>11</v>
      </c>
      <c r="E14" s="2" t="s">
        <v>15</v>
      </c>
      <c r="F14" s="2" t="s">
        <v>16</v>
      </c>
      <c r="G14" s="5">
        <v>7</v>
      </c>
      <c r="H14" s="6">
        <v>44</v>
      </c>
      <c r="I14" s="5">
        <v>308</v>
      </c>
      <c r="J14" s="7"/>
      <c r="K14" s="4">
        <f t="shared" si="0"/>
        <v>0</v>
      </c>
      <c r="L14" s="6">
        <f t="shared" si="2"/>
        <v>-44</v>
      </c>
      <c r="M14" s="5">
        <f t="shared" si="2"/>
        <v>-308</v>
      </c>
      <c r="N14" s="3">
        <v>45831</v>
      </c>
      <c r="O14" s="3">
        <v>45837</v>
      </c>
    </row>
    <row r="15" spans="1:15" x14ac:dyDescent="0.2">
      <c r="A15" s="2" t="s">
        <v>26</v>
      </c>
      <c r="B15" s="2" t="s">
        <v>27</v>
      </c>
      <c r="C15" s="2" t="s">
        <v>25</v>
      </c>
      <c r="D15" s="2" t="s">
        <v>11</v>
      </c>
      <c r="E15" s="2" t="s">
        <v>17</v>
      </c>
      <c r="F15" s="2" t="s">
        <v>18</v>
      </c>
      <c r="G15" s="5">
        <v>7</v>
      </c>
      <c r="H15" s="6">
        <v>44</v>
      </c>
      <c r="I15" s="5">
        <v>308</v>
      </c>
      <c r="J15" s="7"/>
      <c r="K15" s="4">
        <f t="shared" si="0"/>
        <v>0</v>
      </c>
      <c r="L15" s="6">
        <f t="shared" si="2"/>
        <v>-44</v>
      </c>
      <c r="M15" s="5">
        <f t="shared" si="2"/>
        <v>-308</v>
      </c>
      <c r="N15" s="3">
        <v>45831</v>
      </c>
      <c r="O15" s="3">
        <v>45837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3C-9037-4D67-9B87-0209F1B4E4C3}">
  <dimension ref="A1:O15"/>
  <sheetViews>
    <sheetView showGridLines="0" zoomScale="85" zoomScaleNormal="85" workbookViewId="0">
      <pane ySplit="1" topLeftCell="A2" activePane="bottomLeft" state="frozen"/>
      <selection pane="bottomLeft" activeCell="J2" sqref="J2"/>
    </sheetView>
  </sheetViews>
  <sheetFormatPr defaultRowHeight="12.75" x14ac:dyDescent="0.2"/>
  <cols>
    <col min="1" max="1" width="20.140625" bestFit="1" customWidth="1"/>
    <col min="2" max="2" width="36.7109375" bestFit="1" customWidth="1"/>
    <col min="3" max="3" width="25.7109375" bestFit="1" customWidth="1"/>
    <col min="4" max="4" width="32.7109375" bestFit="1" customWidth="1"/>
    <col min="5" max="5" width="16.140625" bestFit="1" customWidth="1"/>
    <col min="6" max="6" width="33" bestFit="1" customWidth="1"/>
    <col min="7" max="13" width="14.28515625" customWidth="1"/>
    <col min="14" max="14" width="19.28515625" bestFit="1" customWidth="1"/>
    <col min="15" max="15" width="18.28515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</v>
      </c>
      <c r="H1" s="1" t="s">
        <v>29</v>
      </c>
      <c r="I1" s="1" t="s">
        <v>28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6</v>
      </c>
      <c r="O1" s="1" t="s">
        <v>7</v>
      </c>
    </row>
    <row r="2" spans="1:15" x14ac:dyDescent="0.2">
      <c r="A2" s="2" t="s">
        <v>26</v>
      </c>
      <c r="B2" s="2" t="s">
        <v>27</v>
      </c>
      <c r="C2" s="2" t="s">
        <v>25</v>
      </c>
      <c r="D2" s="2" t="s">
        <v>11</v>
      </c>
      <c r="E2" s="2" t="s">
        <v>12</v>
      </c>
      <c r="F2" s="2" t="s">
        <v>12</v>
      </c>
      <c r="G2" s="5">
        <v>10</v>
      </c>
      <c r="H2" s="6">
        <v>744</v>
      </c>
      <c r="I2" s="5">
        <v>7440</v>
      </c>
      <c r="J2" s="7">
        <v>999</v>
      </c>
      <c r="K2" s="4">
        <f t="shared" ref="K2:K15" si="0">J2*G2</f>
        <v>9990</v>
      </c>
      <c r="L2" s="6">
        <f t="shared" ref="L2:M2" si="1">J2-H2</f>
        <v>255</v>
      </c>
      <c r="M2" s="5">
        <f t="shared" si="1"/>
        <v>2550</v>
      </c>
      <c r="N2" s="3">
        <v>45831</v>
      </c>
      <c r="O2" s="3">
        <v>45837</v>
      </c>
    </row>
    <row r="3" spans="1:15" x14ac:dyDescent="0.2">
      <c r="A3" s="2" t="s">
        <v>26</v>
      </c>
      <c r="B3" s="2" t="s">
        <v>27</v>
      </c>
      <c r="C3" s="2" t="s">
        <v>25</v>
      </c>
      <c r="D3" s="2" t="s">
        <v>11</v>
      </c>
      <c r="E3" s="2" t="s">
        <v>19</v>
      </c>
      <c r="F3" s="2" t="s">
        <v>19</v>
      </c>
      <c r="G3" s="5">
        <v>10</v>
      </c>
      <c r="H3" s="6">
        <v>462</v>
      </c>
      <c r="I3" s="5">
        <v>4620</v>
      </c>
      <c r="J3" s="7">
        <v>800</v>
      </c>
      <c r="K3" s="4">
        <f t="shared" si="0"/>
        <v>8000</v>
      </c>
      <c r="L3" s="6">
        <f t="shared" ref="L3:M15" si="2">J3-H3</f>
        <v>338</v>
      </c>
      <c r="M3" s="5">
        <f t="shared" si="2"/>
        <v>3380</v>
      </c>
      <c r="N3" s="3">
        <v>45831</v>
      </c>
      <c r="O3" s="3">
        <v>45837</v>
      </c>
    </row>
    <row r="4" spans="1:15" x14ac:dyDescent="0.2">
      <c r="A4" s="2" t="s">
        <v>26</v>
      </c>
      <c r="B4" s="2" t="s">
        <v>27</v>
      </c>
      <c r="C4" s="2" t="s">
        <v>25</v>
      </c>
      <c r="D4" s="2" t="s">
        <v>11</v>
      </c>
      <c r="E4" s="2" t="s">
        <v>20</v>
      </c>
      <c r="F4" s="2" t="s">
        <v>20</v>
      </c>
      <c r="G4" s="5">
        <v>5</v>
      </c>
      <c r="H4" s="6">
        <v>111</v>
      </c>
      <c r="I4" s="5">
        <v>555</v>
      </c>
      <c r="J4" s="7">
        <v>120</v>
      </c>
      <c r="K4" s="4">
        <f t="shared" si="0"/>
        <v>600</v>
      </c>
      <c r="L4" s="6">
        <f t="shared" si="2"/>
        <v>9</v>
      </c>
      <c r="M4" s="5">
        <f t="shared" si="2"/>
        <v>45</v>
      </c>
      <c r="N4" s="3">
        <v>45831</v>
      </c>
      <c r="O4" s="3">
        <v>45837</v>
      </c>
    </row>
    <row r="5" spans="1:15" x14ac:dyDescent="0.2">
      <c r="A5" s="2" t="s">
        <v>26</v>
      </c>
      <c r="B5" s="2" t="s">
        <v>27</v>
      </c>
      <c r="C5" s="2" t="s">
        <v>25</v>
      </c>
      <c r="D5" s="2" t="s">
        <v>11</v>
      </c>
      <c r="E5" s="2" t="s">
        <v>21</v>
      </c>
      <c r="F5" s="2" t="s">
        <v>21</v>
      </c>
      <c r="G5" s="5">
        <v>20</v>
      </c>
      <c r="H5" s="6">
        <v>147</v>
      </c>
      <c r="I5" s="5">
        <v>2940</v>
      </c>
      <c r="J5" s="7">
        <v>0</v>
      </c>
      <c r="K5" s="4">
        <f t="shared" si="0"/>
        <v>0</v>
      </c>
      <c r="L5" s="6">
        <f t="shared" si="2"/>
        <v>-147</v>
      </c>
      <c r="M5" s="5">
        <f t="shared" si="2"/>
        <v>-2940</v>
      </c>
      <c r="N5" s="3">
        <v>45831</v>
      </c>
      <c r="O5" s="3">
        <v>45837</v>
      </c>
    </row>
    <row r="6" spans="1:15" x14ac:dyDescent="0.2">
      <c r="A6" s="2" t="s">
        <v>26</v>
      </c>
      <c r="B6" s="2" t="s">
        <v>27</v>
      </c>
      <c r="C6" s="2" t="s">
        <v>25</v>
      </c>
      <c r="D6" s="2" t="s">
        <v>11</v>
      </c>
      <c r="E6" s="2" t="s">
        <v>22</v>
      </c>
      <c r="F6" s="2" t="s">
        <v>22</v>
      </c>
      <c r="G6" s="5">
        <v>10</v>
      </c>
      <c r="H6" s="6">
        <v>247</v>
      </c>
      <c r="I6" s="5">
        <v>2470</v>
      </c>
      <c r="J6" s="7">
        <v>0</v>
      </c>
      <c r="K6" s="4">
        <f t="shared" si="0"/>
        <v>0</v>
      </c>
      <c r="L6" s="6">
        <f t="shared" si="2"/>
        <v>-247</v>
      </c>
      <c r="M6" s="5">
        <f t="shared" si="2"/>
        <v>-2470</v>
      </c>
      <c r="N6" s="3">
        <v>45831</v>
      </c>
      <c r="O6" s="3">
        <v>45837</v>
      </c>
    </row>
    <row r="7" spans="1:15" x14ac:dyDescent="0.2">
      <c r="A7" s="2" t="s">
        <v>26</v>
      </c>
      <c r="B7" s="2" t="s">
        <v>27</v>
      </c>
      <c r="C7" s="2" t="s">
        <v>25</v>
      </c>
      <c r="D7" s="2" t="s">
        <v>11</v>
      </c>
      <c r="E7" s="2" t="s">
        <v>23</v>
      </c>
      <c r="F7" s="2" t="s">
        <v>23</v>
      </c>
      <c r="G7" s="5">
        <v>10</v>
      </c>
      <c r="H7" s="6">
        <v>211</v>
      </c>
      <c r="I7" s="5">
        <v>2110</v>
      </c>
      <c r="J7" s="7">
        <v>0</v>
      </c>
      <c r="K7" s="4">
        <f t="shared" si="0"/>
        <v>0</v>
      </c>
      <c r="L7" s="6">
        <f t="shared" si="2"/>
        <v>-211</v>
      </c>
      <c r="M7" s="5">
        <f t="shared" si="2"/>
        <v>-2110</v>
      </c>
      <c r="N7" s="3">
        <v>45831</v>
      </c>
      <c r="O7" s="3">
        <v>45837</v>
      </c>
    </row>
    <row r="8" spans="1:15" x14ac:dyDescent="0.2">
      <c r="A8" s="2" t="s">
        <v>26</v>
      </c>
      <c r="B8" s="2" t="s">
        <v>27</v>
      </c>
      <c r="C8" s="2" t="s">
        <v>25</v>
      </c>
      <c r="D8" s="2" t="s">
        <v>11</v>
      </c>
      <c r="E8" s="2" t="s">
        <v>13</v>
      </c>
      <c r="F8" s="2" t="s">
        <v>13</v>
      </c>
      <c r="G8" s="5">
        <v>10</v>
      </c>
      <c r="H8" s="6">
        <v>19</v>
      </c>
      <c r="I8" s="5">
        <v>190</v>
      </c>
      <c r="J8" s="7">
        <v>0</v>
      </c>
      <c r="K8" s="4">
        <f t="shared" si="0"/>
        <v>0</v>
      </c>
      <c r="L8" s="6">
        <f t="shared" si="2"/>
        <v>-19</v>
      </c>
      <c r="M8" s="5">
        <f t="shared" si="2"/>
        <v>-190</v>
      </c>
      <c r="N8" s="3">
        <v>45831</v>
      </c>
      <c r="O8" s="3">
        <v>45837</v>
      </c>
    </row>
    <row r="9" spans="1:15" x14ac:dyDescent="0.2">
      <c r="A9" s="2" t="s">
        <v>26</v>
      </c>
      <c r="B9" s="2" t="s">
        <v>27</v>
      </c>
      <c r="C9" s="2" t="s">
        <v>25</v>
      </c>
      <c r="D9" s="2" t="s">
        <v>11</v>
      </c>
      <c r="E9" s="2" t="s">
        <v>14</v>
      </c>
      <c r="F9" s="2" t="s">
        <v>14</v>
      </c>
      <c r="G9" s="5">
        <v>10</v>
      </c>
      <c r="H9" s="6">
        <v>63</v>
      </c>
      <c r="I9" s="5">
        <v>630</v>
      </c>
      <c r="J9" s="7">
        <v>0</v>
      </c>
      <c r="K9" s="4">
        <f t="shared" si="0"/>
        <v>0</v>
      </c>
      <c r="L9" s="6">
        <f t="shared" si="2"/>
        <v>-63</v>
      </c>
      <c r="M9" s="5">
        <f t="shared" si="2"/>
        <v>-630</v>
      </c>
      <c r="N9" s="3">
        <v>45831</v>
      </c>
      <c r="O9" s="3">
        <v>45837</v>
      </c>
    </row>
    <row r="10" spans="1:15" x14ac:dyDescent="0.2">
      <c r="A10" s="2" t="s">
        <v>26</v>
      </c>
      <c r="B10" s="2" t="s">
        <v>27</v>
      </c>
      <c r="C10" s="2" t="s">
        <v>25</v>
      </c>
      <c r="D10" s="2" t="s">
        <v>11</v>
      </c>
      <c r="E10" s="2" t="s">
        <v>8</v>
      </c>
      <c r="F10" s="2" t="s">
        <v>8</v>
      </c>
      <c r="G10" s="5">
        <v>30</v>
      </c>
      <c r="H10" s="6">
        <v>102</v>
      </c>
      <c r="I10" s="5">
        <v>3060</v>
      </c>
      <c r="J10" s="7">
        <v>150</v>
      </c>
      <c r="K10" s="4">
        <f t="shared" si="0"/>
        <v>4500</v>
      </c>
      <c r="L10" s="6">
        <f t="shared" si="2"/>
        <v>48</v>
      </c>
      <c r="M10" s="5">
        <f t="shared" si="2"/>
        <v>1440</v>
      </c>
      <c r="N10" s="3">
        <v>45831</v>
      </c>
      <c r="O10" s="3">
        <v>45837</v>
      </c>
    </row>
    <row r="11" spans="1:15" x14ac:dyDescent="0.2">
      <c r="A11" s="2" t="s">
        <v>26</v>
      </c>
      <c r="B11" s="2" t="s">
        <v>27</v>
      </c>
      <c r="C11" s="2" t="s">
        <v>25</v>
      </c>
      <c r="D11" s="2" t="s">
        <v>11</v>
      </c>
      <c r="E11" s="2" t="s">
        <v>9</v>
      </c>
      <c r="F11" s="2" t="s">
        <v>9</v>
      </c>
      <c r="G11" s="5">
        <v>30</v>
      </c>
      <c r="H11" s="6">
        <v>43</v>
      </c>
      <c r="I11" s="5">
        <v>1290</v>
      </c>
      <c r="J11" s="7">
        <v>0</v>
      </c>
      <c r="K11" s="4">
        <f t="shared" si="0"/>
        <v>0</v>
      </c>
      <c r="L11" s="6">
        <f t="shared" si="2"/>
        <v>-43</v>
      </c>
      <c r="M11" s="5">
        <f t="shared" si="2"/>
        <v>-1290</v>
      </c>
      <c r="N11" s="3">
        <v>45831</v>
      </c>
      <c r="O11" s="3">
        <v>45837</v>
      </c>
    </row>
    <row r="12" spans="1:15" x14ac:dyDescent="0.2">
      <c r="A12" s="2" t="s">
        <v>26</v>
      </c>
      <c r="B12" s="2" t="s">
        <v>27</v>
      </c>
      <c r="C12" s="2" t="s">
        <v>25</v>
      </c>
      <c r="D12" s="2" t="s">
        <v>11</v>
      </c>
      <c r="E12" s="2" t="s">
        <v>24</v>
      </c>
      <c r="F12" s="2" t="s">
        <v>24</v>
      </c>
      <c r="G12" s="5">
        <v>30</v>
      </c>
      <c r="H12" s="6">
        <v>38</v>
      </c>
      <c r="I12" s="5">
        <v>1140</v>
      </c>
      <c r="J12" s="7">
        <v>100</v>
      </c>
      <c r="K12" s="4">
        <f t="shared" si="0"/>
        <v>3000</v>
      </c>
      <c r="L12" s="6">
        <f t="shared" si="2"/>
        <v>62</v>
      </c>
      <c r="M12" s="5">
        <f t="shared" si="2"/>
        <v>1860</v>
      </c>
      <c r="N12" s="3">
        <v>45831</v>
      </c>
      <c r="O12" s="3">
        <v>45837</v>
      </c>
    </row>
    <row r="13" spans="1:15" x14ac:dyDescent="0.2">
      <c r="A13" s="2" t="s">
        <v>26</v>
      </c>
      <c r="B13" s="2" t="s">
        <v>27</v>
      </c>
      <c r="C13" s="2" t="s">
        <v>25</v>
      </c>
      <c r="D13" s="2" t="s">
        <v>11</v>
      </c>
      <c r="E13" s="2" t="s">
        <v>10</v>
      </c>
      <c r="F13" s="2" t="s">
        <v>10</v>
      </c>
      <c r="G13" s="5">
        <v>30</v>
      </c>
      <c r="H13" s="6">
        <v>168</v>
      </c>
      <c r="I13" s="5">
        <v>5040</v>
      </c>
      <c r="J13" s="7">
        <v>200</v>
      </c>
      <c r="K13" s="4">
        <f t="shared" si="0"/>
        <v>6000</v>
      </c>
      <c r="L13" s="6">
        <f t="shared" si="2"/>
        <v>32</v>
      </c>
      <c r="M13" s="5">
        <f t="shared" si="2"/>
        <v>960</v>
      </c>
      <c r="N13" s="3">
        <v>45831</v>
      </c>
      <c r="O13" s="3">
        <v>45837</v>
      </c>
    </row>
    <row r="14" spans="1:15" x14ac:dyDescent="0.2">
      <c r="A14" s="2" t="s">
        <v>26</v>
      </c>
      <c r="B14" s="2" t="s">
        <v>27</v>
      </c>
      <c r="C14" s="2" t="s">
        <v>25</v>
      </c>
      <c r="D14" s="2" t="s">
        <v>11</v>
      </c>
      <c r="E14" s="2" t="s">
        <v>15</v>
      </c>
      <c r="F14" s="2" t="s">
        <v>16</v>
      </c>
      <c r="G14" s="5">
        <v>7</v>
      </c>
      <c r="H14" s="6">
        <v>44</v>
      </c>
      <c r="I14" s="5">
        <v>308</v>
      </c>
      <c r="J14" s="7">
        <v>0</v>
      </c>
      <c r="K14" s="4">
        <f t="shared" si="0"/>
        <v>0</v>
      </c>
      <c r="L14" s="6">
        <f t="shared" si="2"/>
        <v>-44</v>
      </c>
      <c r="M14" s="5">
        <f t="shared" si="2"/>
        <v>-308</v>
      </c>
      <c r="N14" s="3">
        <v>45831</v>
      </c>
      <c r="O14" s="3">
        <v>45837</v>
      </c>
    </row>
    <row r="15" spans="1:15" x14ac:dyDescent="0.2">
      <c r="A15" s="2" t="s">
        <v>26</v>
      </c>
      <c r="B15" s="2" t="s">
        <v>27</v>
      </c>
      <c r="C15" s="2" t="s">
        <v>25</v>
      </c>
      <c r="D15" s="2" t="s">
        <v>11</v>
      </c>
      <c r="E15" s="2" t="s">
        <v>17</v>
      </c>
      <c r="F15" s="2" t="s">
        <v>18</v>
      </c>
      <c r="G15" s="5">
        <v>7</v>
      </c>
      <c r="H15" s="6">
        <v>44</v>
      </c>
      <c r="I15" s="5">
        <v>308</v>
      </c>
      <c r="J15" s="7">
        <v>0</v>
      </c>
      <c r="K15" s="4">
        <f t="shared" si="0"/>
        <v>0</v>
      </c>
      <c r="L15" s="6">
        <f t="shared" si="2"/>
        <v>-44</v>
      </c>
      <c r="M15" s="5">
        <f t="shared" si="2"/>
        <v>-308</v>
      </c>
      <c r="N15" s="3">
        <v>45831</v>
      </c>
      <c r="O15" s="3">
        <v>45837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ONLY Shipping</vt:lpstr>
      <vt:lpstr>Samsung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2025-06-30T20:43:57Z</dcterms:modified>
  <cp:category/>
</cp:coreProperties>
</file>