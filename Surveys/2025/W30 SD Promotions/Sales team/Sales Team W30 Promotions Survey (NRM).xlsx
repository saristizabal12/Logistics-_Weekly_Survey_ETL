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0 SD Promotions\"/>
    </mc:Choice>
  </mc:AlternateContent>
  <xr:revisionPtr revIDLastSave="0" documentId="13_ncr:1_{B9022430-746C-4DBB-8DC7-3B04F285C77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Invoiced" sheetId="1" r:id="rId1"/>
    <sheet name="Invoiced+Shipping" sheetId="2" r:id="rId2"/>
  </sheets>
  <definedNames>
    <definedName name="_xlnm._FilterDatabase" localSheetId="0" hidden="1">Invoiced!$A$1:$O$10</definedName>
    <definedName name="_xlnm._FilterDatabase" localSheetId="1" hidden="1">'Invoiced+Shipping'!$A$1:$O$10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2" l="1"/>
  <c r="K10" i="2"/>
  <c r="M10" i="2" s="1"/>
  <c r="L9" i="2"/>
  <c r="K9" i="2"/>
  <c r="M9" i="2" s="1"/>
  <c r="L8" i="2"/>
  <c r="K8" i="2"/>
  <c r="M8" i="2" s="1"/>
  <c r="L7" i="2"/>
  <c r="K7" i="2"/>
  <c r="M7" i="2" s="1"/>
  <c r="L6" i="2"/>
  <c r="K6" i="2"/>
  <c r="M6" i="2" s="1"/>
  <c r="L5" i="2"/>
  <c r="K5" i="2"/>
  <c r="M5" i="2" s="1"/>
  <c r="L4" i="2"/>
  <c r="K4" i="2"/>
  <c r="M4" i="2" s="1"/>
  <c r="L3" i="2"/>
  <c r="K3" i="2"/>
  <c r="M3" i="2" s="1"/>
  <c r="M2" i="2"/>
  <c r="L2" i="2"/>
  <c r="K2" i="2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<sst xmlns="http://schemas.openxmlformats.org/spreadsheetml/2006/main" count="138" uniqueCount="24">
  <si>
    <t>Condition Document No</t>
  </si>
  <si>
    <t>Condition Text</t>
  </si>
  <si>
    <t>Group Condition Document No</t>
  </si>
  <si>
    <t>Customer Text</t>
  </si>
  <si>
    <t>Product</t>
  </si>
  <si>
    <t>Product Text</t>
  </si>
  <si>
    <t>Accrual Quantity</t>
  </si>
  <si>
    <t>Accrual Price</t>
  </si>
  <si>
    <t>Start Date of Condition</t>
  </si>
  <si>
    <t>End Date of Condition</t>
  </si>
  <si>
    <t>VITEL MOBILE, INC.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</si>
  <si>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</si>
  <si>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</si>
  <si>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</si>
  <si>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</si>
  <si>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</si>
  <si>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</si>
  <si>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</si>
  <si>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</si>
  <si>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</si>
  <si>
    <t>A2S3A0A250000278</t>
  </si>
  <si>
    <t>A0S3A0A250000748</t>
  </si>
  <si>
    <t>VITEL W30 NRM Sell-Thru Promotion</t>
  </si>
  <si>
    <t>Accrual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</si>
</sst>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4" fontId="0" fillId="4" borderId="1" xfId="0" applyNumberFormat="1" applyFill="1" applyBorder="1"/>
    <xf numFmtId="3" fontId="0" fillId="3" borderId="1" xfId="0" applyNumberFormat="1" applyFill="1" applyBorder="1"/>
    <xf numFmtId="8" fontId="0" fillId="3" borderId="1" xfId="0" applyNumberFormat="1" applyFill="1" applyBorder="1"/>
    <xf numFmtId="8" fontId="0" fillId="5" borderId="1" xfId="0" applyNumberFormat="1" applyFill="1" applyBorder="1"/>
    <xf numFmtId="3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showGridLines="0" workbookViewId="0">
      <pane ySplit="1" topLeftCell="A2" activePane="bottomLeft" state="frozen"/>
      <selection pane="bottomLeft" activeCell="J2" sqref="J2:J10"/>
    </sheetView>
  </sheetViews>
  <sheetFormatPr defaultRowHeight="12.75" x14ac:dyDescent="0.2"/>
  <cols>
    <col min="1" max="1" width="22.42578125" bestFit="1" customWidth="1"/>
    <col min="2" max="2" width="30.140625" bestFit="1" customWidth="1"/>
    <col min="3" max="3" width="28" bestFit="1" customWidth="1"/>
    <col min="4" max="4" width="15.5703125" bestFit="1" customWidth="1"/>
    <col min="5" max="5" width="10.85546875" bestFit="1" customWidth="1"/>
    <col min="6" max="6" width="13.28515625" bestFit="1" customWidth="1"/>
    <col min="7" max="7" width="13.140625" bestFit="1" customWidth="1"/>
    <col min="8" max="8" width="16.28515625" bestFit="1" customWidth="1"/>
    <col min="9" max="9" width="14.7109375" bestFit="1" customWidth="1"/>
    <col min="10" max="10" width="16.28515625" bestFit="1" customWidth="1"/>
    <col min="11" max="11" width="14.7109375" bestFit="1" customWidth="1"/>
    <col min="12" max="12" width="16.28515625" bestFit="1" customWidth="1"/>
    <col min="13" max="13" width="14.7109375" bestFit="1" customWidth="1"/>
    <col min="14" max="14" width="21.5703125" bestFit="1" customWidth="1"/>
    <col min="15" max="15" width="20.57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23</v>
      </c>
      <c r="J1" s="1" t="s">
        <v>6</v>
      </c>
      <c r="K1" s="1" t="s">
        <v>23</v>
      </c>
      <c r="L1" s="1" t="s">
        <v>6</v>
      </c>
      <c r="M1" s="1" t="s">
        <v>23</v>
      </c>
      <c r="N1" s="1" t="s">
        <v>8</v>
      </c>
      <c r="O1" s="1" t="s">
        <v>9</v>
      </c>
    </row>
    <row r="2" spans="1:17" x14ac:dyDescent="0.2">
      <c r="A2" s="2" t="s">
        <v>21</v>
      </c>
      <c r="B2" s="2" t="s">
        <v>22</v>
      </c>
      <c r="C2" s="2" t="s">
        <v>20</v>
      </c>
      <c r="D2" s="2" t="s">
        <v>10</v>
      </c>
      <c r="E2" s="2" t="s">
        <v>11</v>
      </c>
      <c r="F2" s="2" t="s">
        <v>11</v>
      </c>
      <c r="G2" s="7">
        <v>10</v>
      </c>
      <c r="H2" s="8">
        <v>650</v>
      </c>
      <c r="I2" s="7">
        <v>6500</v>
      </c>
      <c r="J2" s="5">
        <v>0</v>
      </c>
      <c r="K2" s="6">
        <f t="shared" ref="K2:K10" si="0">J2*G2</f>
        <v>0</v>
      </c>
      <c r="L2" s="8">
        <f t="shared" ref="L2:L10" si="1">J2-H2</f>
        <v>-650</v>
      </c>
      <c r="M2" s="7">
        <f t="shared" ref="M2:M10" si="2">K2-I2</f>
        <v>-6500</v>
      </c>
      <c r="N2" s="3">
        <v>45859</v>
      </c>
      <c r="O2" s="4">
        <v>45865</v>
      </c>
    </row>
    <row r="3" spans="1:17" x14ac:dyDescent="0.2">
      <c r="A3" s="2" t="s">
        <v>21</v>
      </c>
      <c r="B3" s="2" t="s">
        <v>22</v>
      </c>
      <c r="C3" s="2" t="s">
        <v>20</v>
      </c>
      <c r="D3" s="2" t="s">
        <v>10</v>
      </c>
      <c r="E3" s="2" t="s">
        <v>12</v>
      </c>
      <c r="F3" s="2" t="s">
        <v>12</v>
      </c>
      <c r="G3" s="7">
        <v>10</v>
      </c>
      <c r="H3" s="8">
        <v>5952</v>
      </c>
      <c r="I3" s="7">
        <v>59520</v>
      </c>
      <c r="J3" s="5">
        <v>1490</v>
      </c>
      <c r="K3" s="6">
        <f t="shared" si="0"/>
        <v>14900</v>
      </c>
      <c r="L3" s="8">
        <f t="shared" si="1"/>
        <v>-4462</v>
      </c>
      <c r="M3" s="7">
        <f t="shared" si="2"/>
        <v>-44620</v>
      </c>
      <c r="N3" s="3">
        <v>45859</v>
      </c>
      <c r="O3" s="4">
        <v>45865</v>
      </c>
      <c r="Q3">
        <v>500</v>
      </c>
    </row>
    <row r="4" spans="1:17" x14ac:dyDescent="0.2">
      <c r="A4" s="2" t="s">
        <v>21</v>
      </c>
      <c r="B4" s="2" t="s">
        <v>22</v>
      </c>
      <c r="C4" s="2" t="s">
        <v>20</v>
      </c>
      <c r="D4" s="2" t="s">
        <v>10</v>
      </c>
      <c r="E4" s="2" t="s">
        <v>13</v>
      </c>
      <c r="F4" s="2" t="s">
        <v>13</v>
      </c>
      <c r="G4" s="7">
        <v>5</v>
      </c>
      <c r="H4" s="8">
        <v>620</v>
      </c>
      <c r="I4" s="7">
        <v>3100</v>
      </c>
      <c r="J4" s="5">
        <v>43</v>
      </c>
      <c r="K4" s="6">
        <f t="shared" si="0"/>
        <v>215</v>
      </c>
      <c r="L4" s="8">
        <f t="shared" si="1"/>
        <v>-577</v>
      </c>
      <c r="M4" s="7">
        <f t="shared" si="2"/>
        <v>-2885</v>
      </c>
      <c r="N4" s="3">
        <v>45859</v>
      </c>
      <c r="O4" s="4">
        <v>45865</v>
      </c>
    </row>
    <row r="5" spans="1:17" x14ac:dyDescent="0.2">
      <c r="A5" s="2" t="s">
        <v>21</v>
      </c>
      <c r="B5" s="2" t="s">
        <v>22</v>
      </c>
      <c r="C5" s="2" t="s">
        <v>20</v>
      </c>
      <c r="D5" s="2" t="s">
        <v>10</v>
      </c>
      <c r="E5" s="2" t="s">
        <v>14</v>
      </c>
      <c r="F5" s="2" t="s">
        <v>14</v>
      </c>
      <c r="G5" s="7">
        <v>10</v>
      </c>
      <c r="H5" s="8">
        <v>656</v>
      </c>
      <c r="I5" s="7">
        <v>6560</v>
      </c>
      <c r="J5" s="5">
        <v>20</v>
      </c>
      <c r="K5" s="6">
        <f t="shared" si="0"/>
        <v>200</v>
      </c>
      <c r="L5" s="8">
        <f t="shared" si="1"/>
        <v>-636</v>
      </c>
      <c r="M5" s="7">
        <f t="shared" si="2"/>
        <v>-6360</v>
      </c>
      <c r="N5" s="3">
        <v>45859</v>
      </c>
      <c r="O5" s="4">
        <v>45865</v>
      </c>
      <c r="Q5">
        <v>120</v>
      </c>
    </row>
    <row r="6" spans="1:17" x14ac:dyDescent="0.2">
      <c r="A6" s="2" t="s">
        <v>21</v>
      </c>
      <c r="B6" s="2" t="s">
        <v>22</v>
      </c>
      <c r="C6" s="2" t="s">
        <v>20</v>
      </c>
      <c r="D6" s="2" t="s">
        <v>10</v>
      </c>
      <c r="E6" s="2" t="s">
        <v>15</v>
      </c>
      <c r="F6" s="2" t="s">
        <v>15</v>
      </c>
      <c r="G6" s="7">
        <v>10</v>
      </c>
      <c r="H6" s="8">
        <v>699</v>
      </c>
      <c r="I6" s="7">
        <v>6990</v>
      </c>
      <c r="J6" s="5">
        <v>20</v>
      </c>
      <c r="K6" s="6">
        <f t="shared" si="0"/>
        <v>200</v>
      </c>
      <c r="L6" s="8">
        <f t="shared" si="1"/>
        <v>-679</v>
      </c>
      <c r="M6" s="7">
        <f t="shared" si="2"/>
        <v>-6790</v>
      </c>
      <c r="N6" s="3">
        <v>45859</v>
      </c>
      <c r="O6" s="4">
        <v>45865</v>
      </c>
      <c r="Q6">
        <v>69</v>
      </c>
    </row>
    <row r="7" spans="1:17" x14ac:dyDescent="0.2">
      <c r="A7" s="2" t="s">
        <v>21</v>
      </c>
      <c r="B7" s="2" t="s">
        <v>22</v>
      </c>
      <c r="C7" s="2" t="s">
        <v>20</v>
      </c>
      <c r="D7" s="2" t="s">
        <v>10</v>
      </c>
      <c r="E7" s="2" t="s">
        <v>16</v>
      </c>
      <c r="F7" s="2" t="s">
        <v>16</v>
      </c>
      <c r="G7" s="7">
        <v>30</v>
      </c>
      <c r="H7" s="8">
        <v>248</v>
      </c>
      <c r="I7" s="7">
        <v>7440</v>
      </c>
      <c r="J7" s="5">
        <v>45</v>
      </c>
      <c r="K7" s="6">
        <f t="shared" si="0"/>
        <v>1350</v>
      </c>
      <c r="L7" s="8">
        <f t="shared" si="1"/>
        <v>-203</v>
      </c>
      <c r="M7" s="7">
        <f t="shared" si="2"/>
        <v>-6090</v>
      </c>
      <c r="N7" s="3">
        <v>45859</v>
      </c>
      <c r="O7" s="4">
        <v>45865</v>
      </c>
      <c r="Q7">
        <v>20</v>
      </c>
    </row>
    <row r="8" spans="1:17" x14ac:dyDescent="0.2">
      <c r="A8" s="2" t="s">
        <v>21</v>
      </c>
      <c r="B8" s="2" t="s">
        <v>22</v>
      </c>
      <c r="C8" s="2" t="s">
        <v>20</v>
      </c>
      <c r="D8" s="2" t="s">
        <v>10</v>
      </c>
      <c r="E8" s="2" t="s">
        <v>17</v>
      </c>
      <c r="F8" s="2" t="s">
        <v>17</v>
      </c>
      <c r="G8" s="7">
        <v>30</v>
      </c>
      <c r="H8" s="8">
        <v>70</v>
      </c>
      <c r="I8" s="7">
        <v>2100</v>
      </c>
      <c r="J8" s="5">
        <v>0</v>
      </c>
      <c r="K8" s="6">
        <f t="shared" si="0"/>
        <v>0</v>
      </c>
      <c r="L8" s="8">
        <f t="shared" si="1"/>
        <v>-70</v>
      </c>
      <c r="M8" s="7">
        <f t="shared" si="2"/>
        <v>-2100</v>
      </c>
      <c r="N8" s="3">
        <v>45859</v>
      </c>
      <c r="O8" s="4">
        <v>45865</v>
      </c>
    </row>
    <row r="9" spans="1:17" x14ac:dyDescent="0.2">
      <c r="A9" s="2" t="s">
        <v>21</v>
      </c>
      <c r="B9" s="2" t="s">
        <v>22</v>
      </c>
      <c r="C9" s="2" t="s">
        <v>20</v>
      </c>
      <c r="D9" s="2" t="s">
        <v>10</v>
      </c>
      <c r="E9" s="2" t="s">
        <v>18</v>
      </c>
      <c r="F9" s="2" t="s">
        <v>18</v>
      </c>
      <c r="G9" s="7">
        <v>30</v>
      </c>
      <c r="H9" s="8">
        <v>51</v>
      </c>
      <c r="I9" s="7">
        <v>1530</v>
      </c>
      <c r="J9" s="5">
        <v>10</v>
      </c>
      <c r="K9" s="6">
        <f t="shared" si="0"/>
        <v>300</v>
      </c>
      <c r="L9" s="8">
        <f t="shared" si="1"/>
        <v>-41</v>
      </c>
      <c r="M9" s="7">
        <f t="shared" si="2"/>
        <v>-1230</v>
      </c>
      <c r="N9" s="3">
        <v>45859</v>
      </c>
      <c r="O9" s="4">
        <v>45865</v>
      </c>
    </row>
    <row r="10" spans="1:17" x14ac:dyDescent="0.2">
      <c r="A10" s="2" t="s">
        <v>21</v>
      </c>
      <c r="B10" s="2" t="s">
        <v>22</v>
      </c>
      <c r="C10" s="2" t="s">
        <v>20</v>
      </c>
      <c r="D10" s="2" t="s">
        <v>10</v>
      </c>
      <c r="E10" s="2" t="s">
        <v>19</v>
      </c>
      <c r="F10" s="2" t="s">
        <v>19</v>
      </c>
      <c r="G10" s="7">
        <v>30</v>
      </c>
      <c r="H10" s="8">
        <v>885</v>
      </c>
      <c r="I10" s="7">
        <v>26550</v>
      </c>
      <c r="J10" s="5">
        <v>115</v>
      </c>
      <c r="K10" s="6">
        <f t="shared" si="0"/>
        <v>3450</v>
      </c>
      <c r="L10" s="8">
        <f t="shared" si="1"/>
        <v>-770</v>
      </c>
      <c r="M10" s="7">
        <f t="shared" si="2"/>
        <v>-23100</v>
      </c>
      <c r="N10" s="3">
        <v>45859</v>
      </c>
      <c r="O10" s="4">
        <v>45865</v>
      </c>
      <c r="Q10">
        <v>111</v>
      </c>
    </row>
  </sheetData>
  <autoFilter ref="A1:O10" xr:uid="{00000000-0001-0000-0000-000000000000}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6D3B-0591-48A7-9348-CB32996D3A12}">
  <dimension ref="A1:Q10"/>
  <sheetViews>
    <sheetView showGridLines="0" tabSelected="1" zoomScale="115" zoomScaleNormal="115" workbookViewId="0">
      <pane ySplit="1" topLeftCell="A2" activePane="bottomLeft" state="frozen"/>
      <selection pane="bottomLeft" activeCell="N1" sqref="N1"/>
    </sheetView>
  </sheetViews>
  <sheetFormatPr defaultRowHeight="12.75" x14ac:dyDescent="0.2"/>
  <cols>
    <col min="1" max="1" width="22.42578125" bestFit="1" customWidth="1"/>
    <col min="2" max="2" width="30.140625" bestFit="1" customWidth="1"/>
    <col min="3" max="3" width="28" bestFit="1" customWidth="1"/>
    <col min="4" max="4" width="15.5703125" bestFit="1" customWidth="1"/>
    <col min="5" max="5" width="10.85546875" bestFit="1" customWidth="1"/>
    <col min="6" max="6" width="13.28515625" bestFit="1" customWidth="1"/>
    <col min="7" max="7" width="13.140625" bestFit="1" customWidth="1"/>
    <col min="8" max="8" width="16.28515625" bestFit="1" customWidth="1"/>
    <col min="9" max="9" width="14.7109375" bestFit="1" customWidth="1"/>
    <col min="10" max="10" width="16.28515625" bestFit="1" customWidth="1"/>
    <col min="11" max="11" width="14.7109375" bestFit="1" customWidth="1"/>
    <col min="12" max="12" width="16.28515625" bestFit="1" customWidth="1"/>
    <col min="13" max="13" width="14.7109375" bestFit="1" customWidth="1"/>
    <col min="14" max="14" width="21.5703125" bestFit="1" customWidth="1"/>
    <col min="15" max="15" width="20.57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23</v>
      </c>
      <c r="J1" s="1" t="s">
        <v>6</v>
      </c>
      <c r="K1" s="1" t="s">
        <v>23</v>
      </c>
      <c r="L1" s="1" t="s">
        <v>6</v>
      </c>
      <c r="M1" s="1" t="s">
        <v>23</v>
      </c>
      <c r="N1" s="1" t="s">
        <v>8</v>
      </c>
      <c r="O1" s="1" t="s">
        <v>9</v>
      </c>
    </row>
    <row r="2" spans="1:17" x14ac:dyDescent="0.2">
      <c r="A2" s="2" t="s">
        <v>21</v>
      </c>
      <c r="B2" s="2" t="s">
        <v>22</v>
      </c>
      <c r="C2" s="2" t="s">
        <v>20</v>
      </c>
      <c r="D2" s="2" t="s">
        <v>10</v>
      </c>
      <c r="E2" s="2" t="s">
        <v>11</v>
      </c>
      <c r="F2" s="2" t="s">
        <v>11</v>
      </c>
      <c r="G2" s="7">
        <v>10</v>
      </c>
      <c r="H2" s="8">
        <v>650</v>
      </c>
      <c r="I2" s="7">
        <v>6500</v>
      </c>
      <c r="J2" s="5">
        <v>0</v>
      </c>
      <c r="K2" s="6">
        <f t="shared" ref="K2:K10" si="0">J2*G2</f>
        <v>0</v>
      </c>
      <c r="L2" s="8">
        <f t="shared" ref="L2:M10" si="1">J2-H2</f>
        <v>-650</v>
      </c>
      <c r="M2" s="7">
        <f t="shared" si="1"/>
        <v>-6500</v>
      </c>
      <c r="N2" s="3">
        <v>45859</v>
      </c>
      <c r="O2" s="4">
        <v>45865</v>
      </c>
    </row>
    <row r="3" spans="1:17" x14ac:dyDescent="0.2">
      <c r="A3" s="2" t="s">
        <v>21</v>
      </c>
      <c r="B3" s="2" t="s">
        <v>22</v>
      </c>
      <c r="C3" s="2" t="s">
        <v>20</v>
      </c>
      <c r="D3" s="2" t="s">
        <v>10</v>
      </c>
      <c r="E3" s="2" t="s">
        <v>12</v>
      </c>
      <c r="F3" s="2" t="s">
        <v>12</v>
      </c>
      <c r="G3" s="7">
        <v>10</v>
      </c>
      <c r="H3" s="8">
        <v>5952</v>
      </c>
      <c r="I3" s="7">
        <v>59520</v>
      </c>
      <c r="J3" s="5">
        <v>1990</v>
      </c>
      <c r="K3" s="6">
        <f t="shared" si="0"/>
        <v>19900</v>
      </c>
      <c r="L3" s="8">
        <f t="shared" si="1"/>
        <v>-3962</v>
      </c>
      <c r="M3" s="7">
        <f t="shared" si="1"/>
        <v>-39620</v>
      </c>
      <c r="N3" s="3">
        <v>45859</v>
      </c>
      <c r="O3" s="4">
        <v>45865</v>
      </c>
      <c r="Q3">
        <v>500</v>
      </c>
    </row>
    <row r="4" spans="1:17" x14ac:dyDescent="0.2">
      <c r="A4" s="2" t="s">
        <v>21</v>
      </c>
      <c r="B4" s="2" t="s">
        <v>22</v>
      </c>
      <c r="C4" s="2" t="s">
        <v>20</v>
      </c>
      <c r="D4" s="2" t="s">
        <v>10</v>
      </c>
      <c r="E4" s="2" t="s">
        <v>13</v>
      </c>
      <c r="F4" s="2" t="s">
        <v>13</v>
      </c>
      <c r="G4" s="7">
        <v>5</v>
      </c>
      <c r="H4" s="8">
        <v>620</v>
      </c>
      <c r="I4" s="7">
        <v>3100</v>
      </c>
      <c r="J4" s="5">
        <v>43</v>
      </c>
      <c r="K4" s="6">
        <f t="shared" si="0"/>
        <v>215</v>
      </c>
      <c r="L4" s="8">
        <f t="shared" si="1"/>
        <v>-577</v>
      </c>
      <c r="M4" s="7">
        <f t="shared" si="1"/>
        <v>-2885</v>
      </c>
      <c r="N4" s="3">
        <v>45859</v>
      </c>
      <c r="O4" s="4">
        <v>45865</v>
      </c>
    </row>
    <row r="5" spans="1:17" x14ac:dyDescent="0.2">
      <c r="A5" s="2" t="s">
        <v>21</v>
      </c>
      <c r="B5" s="2" t="s">
        <v>22</v>
      </c>
      <c r="C5" s="2" t="s">
        <v>20</v>
      </c>
      <c r="D5" s="2" t="s">
        <v>10</v>
      </c>
      <c r="E5" s="2" t="s">
        <v>14</v>
      </c>
      <c r="F5" s="2" t="s">
        <v>14</v>
      </c>
      <c r="G5" s="7">
        <v>10</v>
      </c>
      <c r="H5" s="8">
        <v>656</v>
      </c>
      <c r="I5" s="7">
        <v>6560</v>
      </c>
      <c r="J5" s="5">
        <v>140</v>
      </c>
      <c r="K5" s="6">
        <f t="shared" si="0"/>
        <v>1400</v>
      </c>
      <c r="L5" s="8">
        <f t="shared" si="1"/>
        <v>-516</v>
      </c>
      <c r="M5" s="7">
        <f t="shared" si="1"/>
        <v>-5160</v>
      </c>
      <c r="N5" s="3">
        <v>45859</v>
      </c>
      <c r="O5" s="4">
        <v>45865</v>
      </c>
      <c r="Q5">
        <v>120</v>
      </c>
    </row>
    <row r="6" spans="1:17" x14ac:dyDescent="0.2">
      <c r="A6" s="2" t="s">
        <v>21</v>
      </c>
      <c r="B6" s="2" t="s">
        <v>22</v>
      </c>
      <c r="C6" s="2" t="s">
        <v>20</v>
      </c>
      <c r="D6" s="2" t="s">
        <v>10</v>
      </c>
      <c r="E6" s="2" t="s">
        <v>15</v>
      </c>
      <c r="F6" s="2" t="s">
        <v>15</v>
      </c>
      <c r="G6" s="7">
        <v>10</v>
      </c>
      <c r="H6" s="8">
        <v>699</v>
      </c>
      <c r="I6" s="7">
        <v>6990</v>
      </c>
      <c r="J6" s="5">
        <v>89</v>
      </c>
      <c r="K6" s="6">
        <f t="shared" si="0"/>
        <v>890</v>
      </c>
      <c r="L6" s="8">
        <f t="shared" si="1"/>
        <v>-610</v>
      </c>
      <c r="M6" s="7">
        <f t="shared" si="1"/>
        <v>-6100</v>
      </c>
      <c r="N6" s="3">
        <v>45859</v>
      </c>
      <c r="O6" s="4">
        <v>45865</v>
      </c>
      <c r="Q6">
        <v>69</v>
      </c>
    </row>
    <row r="7" spans="1:17" x14ac:dyDescent="0.2">
      <c r="A7" s="2" t="s">
        <v>21</v>
      </c>
      <c r="B7" s="2" t="s">
        <v>22</v>
      </c>
      <c r="C7" s="2" t="s">
        <v>20</v>
      </c>
      <c r="D7" s="2" t="s">
        <v>10</v>
      </c>
      <c r="E7" s="2" t="s">
        <v>16</v>
      </c>
      <c r="F7" s="2" t="s">
        <v>16</v>
      </c>
      <c r="G7" s="7">
        <v>30</v>
      </c>
      <c r="H7" s="8">
        <v>248</v>
      </c>
      <c r="I7" s="7">
        <v>7440</v>
      </c>
      <c r="J7" s="5">
        <v>65</v>
      </c>
      <c r="K7" s="6">
        <f t="shared" si="0"/>
        <v>1950</v>
      </c>
      <c r="L7" s="8">
        <f t="shared" si="1"/>
        <v>-183</v>
      </c>
      <c r="M7" s="7">
        <f t="shared" si="1"/>
        <v>-5490</v>
      </c>
      <c r="N7" s="3">
        <v>45859</v>
      </c>
      <c r="O7" s="4">
        <v>45865</v>
      </c>
      <c r="Q7">
        <v>20</v>
      </c>
    </row>
    <row r="8" spans="1:17" x14ac:dyDescent="0.2">
      <c r="A8" s="2" t="s">
        <v>21</v>
      </c>
      <c r="B8" s="2" t="s">
        <v>22</v>
      </c>
      <c r="C8" s="2" t="s">
        <v>20</v>
      </c>
      <c r="D8" s="2" t="s">
        <v>10</v>
      </c>
      <c r="E8" s="2" t="s">
        <v>17</v>
      </c>
      <c r="F8" s="2" t="s">
        <v>17</v>
      </c>
      <c r="G8" s="7">
        <v>30</v>
      </c>
      <c r="H8" s="8">
        <v>70</v>
      </c>
      <c r="I8" s="7">
        <v>2100</v>
      </c>
      <c r="J8" s="5">
        <v>0</v>
      </c>
      <c r="K8" s="6">
        <f t="shared" si="0"/>
        <v>0</v>
      </c>
      <c r="L8" s="8">
        <f t="shared" si="1"/>
        <v>-70</v>
      </c>
      <c r="M8" s="7">
        <f t="shared" si="1"/>
        <v>-2100</v>
      </c>
      <c r="N8" s="3">
        <v>45859</v>
      </c>
      <c r="O8" s="4">
        <v>45865</v>
      </c>
    </row>
    <row r="9" spans="1:17" x14ac:dyDescent="0.2">
      <c r="A9" s="2" t="s">
        <v>21</v>
      </c>
      <c r="B9" s="2" t="s">
        <v>22</v>
      </c>
      <c r="C9" s="2" t="s">
        <v>20</v>
      </c>
      <c r="D9" s="2" t="s">
        <v>10</v>
      </c>
      <c r="E9" s="2" t="s">
        <v>18</v>
      </c>
      <c r="F9" s="2" t="s">
        <v>18</v>
      </c>
      <c r="G9" s="7">
        <v>30</v>
      </c>
      <c r="H9" s="8">
        <v>51</v>
      </c>
      <c r="I9" s="7">
        <v>1530</v>
      </c>
      <c r="J9" s="5">
        <v>10</v>
      </c>
      <c r="K9" s="6">
        <f t="shared" si="0"/>
        <v>300</v>
      </c>
      <c r="L9" s="8">
        <f t="shared" si="1"/>
        <v>-41</v>
      </c>
      <c r="M9" s="7">
        <f t="shared" si="1"/>
        <v>-1230</v>
      </c>
      <c r="N9" s="3">
        <v>45859</v>
      </c>
      <c r="O9" s="4">
        <v>45865</v>
      </c>
    </row>
    <row r="10" spans="1:17" x14ac:dyDescent="0.2">
      <c r="A10" s="2" t="s">
        <v>21</v>
      </c>
      <c r="B10" s="2" t="s">
        <v>22</v>
      </c>
      <c r="C10" s="2" t="s">
        <v>20</v>
      </c>
      <c r="D10" s="2" t="s">
        <v>10</v>
      </c>
      <c r="E10" s="2" t="s">
        <v>19</v>
      </c>
      <c r="F10" s="2" t="s">
        <v>19</v>
      </c>
      <c r="G10" s="7">
        <v>30</v>
      </c>
      <c r="H10" s="8">
        <v>885</v>
      </c>
      <c r="I10" s="7">
        <v>26550</v>
      </c>
      <c r="J10" s="5">
        <v>226</v>
      </c>
      <c r="K10" s="6">
        <f t="shared" si="0"/>
        <v>6780</v>
      </c>
      <c r="L10" s="8">
        <f t="shared" si="1"/>
        <v>-659</v>
      </c>
      <c r="M10" s="7">
        <f t="shared" si="1"/>
        <v>-19770</v>
      </c>
      <c r="N10" s="3">
        <v>45859</v>
      </c>
      <c r="O10" s="4">
        <v>45865</v>
      </c>
      <c r="Q10">
        <v>111</v>
      </c>
    </row>
  </sheetData>
  <autoFilter ref="A1:O10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Invoiced</vt:lpstr>
      <vt:lpstr>Invoiced+Shipping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2025-07-23T20:54:58Z</dcterms:created>
  <dcterms:modified xsi:type="dcterms:W3CDTF">2025-07-24T21:37:54Z</dcterms:modified>
  <cp:category/>
</cp:coreProperties>
</file>