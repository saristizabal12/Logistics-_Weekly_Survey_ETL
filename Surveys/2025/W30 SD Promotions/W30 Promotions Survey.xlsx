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0 SD Promotions\"/>
    </mc:Choice>
  </mc:AlternateContent>
  <xr:revisionPtr revIDLastSave="0" documentId="13_ncr:1_{CCA88DD6-596E-4588-AA6B-FDBB6970F7AA}" xr6:coauthVersionLast="47" xr6:coauthVersionMax="47" xr10:uidLastSave="{00000000-0000-0000-0000-000000000000}"/>
  <bookViews>
    <workbookView xWindow="-19320" yWindow="-120" windowWidth="19440" windowHeight="10320" xr2:uid="{9867EF1E-32A5-487C-B5BB-5F62E8A58823}"/>
  </bookViews>
  <sheets>
    <sheet name="Vitel" sheetId="1" r:id="rId1"/>
  </sheets>
  <definedNames>
    <definedName name="_xlnm._FilterDatabase" localSheetId="0" hidden="1">Vitel!$A$1:$O$4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K2" i="1"/>
  <c r="L3" i="1"/>
  <c r="M3" i="1"/>
  <c r="L4" i="1"/>
  <c r="M4" i="1"/>
  <c r="L2" i="1"/>
  <c r="M2" i="1"/>
</calcChain>
</file>

<file path=xl/sharedStrings.xml><?xml version="1.0" encoding="utf-8"?>
<sst xmlns="http://schemas.openxmlformats.org/spreadsheetml/2006/main" count="33" uniqueCount="22">
  <si>
    <t>Condition Document No</t>
  </si>
  <si>
    <t>Condition Text</t>
  </si>
  <si>
    <t>Group Condition Document No</t>
  </si>
  <si>
    <t>Customer Text</t>
  </si>
  <si>
    <t>Product</t>
  </si>
  <si>
    <t>Product Text</t>
  </si>
  <si>
    <t>Incenitve</t>
  </si>
  <si>
    <t>AS-IS Qty</t>
  </si>
  <si>
    <t>AS-IS Amt($)</t>
  </si>
  <si>
    <t>TO-BE Qty</t>
  </si>
  <si>
    <t>TO-BE Amt($)</t>
  </si>
  <si>
    <t>DELTA Qty</t>
  </si>
  <si>
    <t>DELTA Amt($)</t>
  </si>
  <si>
    <t>Start Date of Condition</t>
  </si>
  <si>
    <t>End Date of Condition</t>
  </si>
  <si>
    <t>A0S3A0A250000693</t>
  </si>
  <si>
    <t>VITEL W27-W29 NRM Sell-Thru Promotion</t>
  </si>
  <si>
    <t>A2S3A0A250000253</t>
  </si>
  <si>
    <t>VITEL MOBILE, INC.</t>
  </si>
  <si>
    <t>Z FLIP7</t>
  </si>
  <si>
    <t>Z FLIP7-FE</t>
  </si>
  <si>
    <t>Z FOLD7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</si>
</sst>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3A55-6969-4BFF-B1C5-AE6AA6E4789E}">
  <dimension ref="A1:O4"/>
  <sheetViews>
    <sheetView tabSelected="1" topLeftCell="C1" workbookViewId="0">
      <selection activeCell="J2" sqref="J2"/>
    </sheetView>
  </sheetViews>
  <sheetFormatPr defaultRowHeight="12.75" x14ac:dyDescent="0.2"/>
  <cols>
    <col min="1" max="1" width="20.140625" bestFit="1" customWidth="1"/>
    <col min="2" max="2" width="34.42578125" bestFit="1" customWidth="1"/>
    <col min="3" max="3" width="25.7109375" bestFit="1" customWidth="1"/>
    <col min="4" max="4" width="15.85546875" bestFit="1" customWidth="1"/>
    <col min="5" max="5" width="15.42578125" bestFit="1" customWidth="1"/>
    <col min="6" max="6" width="28.5703125" bestFit="1" customWidth="1"/>
    <col min="7" max="8" width="8.140625" bestFit="1" customWidth="1"/>
    <col min="9" max="9" width="10.7109375" bestFit="1" customWidth="1"/>
    <col min="10" max="10" width="8.85546875" bestFit="1" customWidth="1"/>
    <col min="11" max="11" width="11.42578125" bestFit="1" customWidth="1"/>
    <col min="13" max="13" width="11.710937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8" t="s">
        <v>19</v>
      </c>
      <c r="F2" s="8" t="s">
        <v>19</v>
      </c>
      <c r="G2" s="3">
        <v>100</v>
      </c>
      <c r="H2" s="4">
        <v>3750</v>
      </c>
      <c r="I2" s="3">
        <v>37500</v>
      </c>
      <c r="J2" s="5">
        <v>172</v>
      </c>
      <c r="K2" s="6">
        <f>G2*J2</f>
        <v>17200</v>
      </c>
      <c r="L2" s="4">
        <f>H2-J2</f>
        <v>3578</v>
      </c>
      <c r="M2" s="3">
        <f>K2-I2</f>
        <v>-20300</v>
      </c>
      <c r="N2" s="7">
        <v>45838</v>
      </c>
      <c r="O2" s="7">
        <v>45858</v>
      </c>
    </row>
    <row r="3" spans="1:15" x14ac:dyDescent="0.2">
      <c r="A3" s="2" t="s">
        <v>15</v>
      </c>
      <c r="B3" s="2" t="s">
        <v>16</v>
      </c>
      <c r="C3" s="2" t="s">
        <v>17</v>
      </c>
      <c r="D3" s="2" t="s">
        <v>18</v>
      </c>
      <c r="E3" s="8" t="s">
        <v>20</v>
      </c>
      <c r="F3" s="8" t="s">
        <v>20</v>
      </c>
      <c r="G3" s="3">
        <v>80</v>
      </c>
      <c r="H3" s="4">
        <v>3360</v>
      </c>
      <c r="I3" s="3">
        <v>33600</v>
      </c>
      <c r="J3" s="5">
        <v>121</v>
      </c>
      <c r="K3" s="6">
        <f t="shared" ref="K3:K4" si="0">G3*J3</f>
        <v>9680</v>
      </c>
      <c r="L3" s="4">
        <f t="shared" ref="L3:L4" si="1">H3-J3</f>
        <v>3239</v>
      </c>
      <c r="M3" s="3">
        <f t="shared" ref="M3:M4" si="2">K3-I3</f>
        <v>-23920</v>
      </c>
      <c r="N3" s="7">
        <v>45838</v>
      </c>
      <c r="O3" s="7">
        <v>45858</v>
      </c>
    </row>
    <row r="4" spans="1:15" x14ac:dyDescent="0.2">
      <c r="A4" s="2" t="s">
        <v>15</v>
      </c>
      <c r="B4" s="2" t="s">
        <v>16</v>
      </c>
      <c r="C4" s="2" t="s">
        <v>17</v>
      </c>
      <c r="D4" s="2" t="s">
        <v>18</v>
      </c>
      <c r="E4" s="8" t="s">
        <v>21</v>
      </c>
      <c r="F4" s="8" t="s">
        <v>21</v>
      </c>
      <c r="G4" s="3">
        <v>200</v>
      </c>
      <c r="H4" s="4">
        <v>840</v>
      </c>
      <c r="I4" s="3">
        <v>4200</v>
      </c>
      <c r="J4" s="5">
        <v>250</v>
      </c>
      <c r="K4" s="6">
        <f t="shared" si="0"/>
        <v>50000</v>
      </c>
      <c r="L4" s="4">
        <f t="shared" si="1"/>
        <v>590</v>
      </c>
      <c r="M4" s="3">
        <f t="shared" si="2"/>
        <v>45800</v>
      </c>
      <c r="N4" s="7">
        <v>45838</v>
      </c>
      <c r="O4" s="7">
        <v>45858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2025-07-15T14:50:19Z</dcterms:created>
  <dcterms:modified xsi:type="dcterms:W3CDTF">2025-07-22T20:28:30Z</dcterms:modified>
</cp:coreProperties>
</file>