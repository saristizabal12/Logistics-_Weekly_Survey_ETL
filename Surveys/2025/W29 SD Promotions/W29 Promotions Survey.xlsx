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9 SD Promotions\"/>
    </mc:Choice>
  </mc:AlternateContent>
  <xr:revisionPtr revIDLastSave="0" documentId="13_ncr:1_{2E8F85C0-6C74-4E76-80A2-4D0C6FE0CD7A}" xr6:coauthVersionLast="47" xr6:coauthVersionMax="47" xr10:uidLastSave="{00000000-0000-0000-0000-000000000000}"/>
  <bookViews>
    <workbookView xWindow="-120" yWindow="-120" windowWidth="51840" windowHeight="21120" xr2:uid="{9867EF1E-32A5-487C-B5BB-5F62E8A58823}"/>
  </bookViews>
  <sheets>
    <sheet name="Vitel" sheetId="1" r:id="rId1"/>
  </sheets>
  <definedNames>
    <definedName name="_xlnm._FilterDatabase" localSheetId="0" hidden="1">Vitel!$A$1:$O$44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4" i="1" l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K14" i="1"/>
  <c r="M14" i="1" s="1"/>
  <c r="K13" i="1"/>
  <c r="M13" i="1" s="1"/>
  <c r="K12" i="1"/>
  <c r="M12" i="1" s="1"/>
  <c r="K11" i="1"/>
  <c r="M11" i="1" s="1"/>
  <c r="K10" i="1"/>
  <c r="M10" i="1" s="1"/>
  <c r="K9" i="1"/>
  <c r="M9" i="1" s="1"/>
  <c r="K8" i="1"/>
  <c r="M8" i="1" s="1"/>
  <c r="K7" i="1"/>
  <c r="M7" i="1" s="1"/>
  <c r="K6" i="1"/>
  <c r="M6" i="1" s="1"/>
  <c r="K5" i="1"/>
  <c r="M5" i="1" s="1"/>
  <c r="K4" i="1"/>
  <c r="M4" i="1" s="1"/>
  <c r="K3" i="1"/>
  <c r="M3" i="1" s="1"/>
  <c r="K2" i="1"/>
  <c r="M2" i="1" s="1"/>
</calcChain>
</file>

<file path=xl/sharedStrings.xml><?xml version="1.0" encoding="utf-8"?>
<sst xmlns="http://schemas.openxmlformats.org/spreadsheetml/2006/main" count="273" uniqueCount="74">
  <si>
    <t>Condition Document No</t>
  </si>
  <si>
    <t>Condition Text</t>
  </si>
  <si>
    <t>Group Condition Document No</t>
  </si>
  <si>
    <t>Customer Text</t>
  </si>
  <si>
    <t>Product</t>
  </si>
  <si>
    <t>Product Text</t>
  </si>
  <si>
    <t>Incenitve</t>
  </si>
  <si>
    <t>AS-IS Qty</t>
  </si>
  <si>
    <t>AS-IS Amt($)</t>
  </si>
  <si>
    <t>TO-BE Qty</t>
  </si>
  <si>
    <t>TO-BE Amt($)</t>
  </si>
  <si>
    <t>DELTA Qty</t>
  </si>
  <si>
    <t>DELTA Amt($)</t>
  </si>
  <si>
    <t>Start Date of Condition</t>
  </si>
  <si>
    <t>End Date of Condition</t>
  </si>
  <si>
    <t>A0S3A0A250000693</t>
  </si>
  <si>
    <t>VITEL W27-W29 NRM Sell-Thru Promotion</t>
  </si>
  <si>
    <t>A2S3A0A250000253</t>
  </si>
  <si>
    <t>VITEL MOBILE, INC.</t>
  </si>
  <si>
    <t>G-A06</t>
  </si>
  <si>
    <t>G-A16</t>
  </si>
  <si>
    <t>G-A16-5G</t>
  </si>
  <si>
    <t>G-A36-5G</t>
  </si>
  <si>
    <t>G-A56-5G</t>
  </si>
  <si>
    <t>G-S24</t>
  </si>
  <si>
    <t>G-S24+</t>
  </si>
  <si>
    <t>G-S24-ULTRA</t>
  </si>
  <si>
    <t>G-S25</t>
  </si>
  <si>
    <t>G-S25+</t>
  </si>
  <si>
    <t>G-S25-ULTRA</t>
  </si>
  <si>
    <t>A0S3A0A250000696</t>
  </si>
  <si>
    <t>VITEL W27-W29 MX Sell-Thru Promotion</t>
  </si>
  <si>
    <t>A2S3A0A250000254</t>
  </si>
  <si>
    <t>A0S3A0A250000703</t>
  </si>
  <si>
    <t>VITEL W27-W29 A26 OM ST Promo</t>
  </si>
  <si>
    <t>A2S3A0A250000258</t>
  </si>
  <si>
    <t>G-A26-5G</t>
  </si>
  <si>
    <t>A0S3A0A250000710</t>
  </si>
  <si>
    <t>VITEL W27-W29 Tab S10 Series ST Promo</t>
  </si>
  <si>
    <t>A2S3A0A250000257</t>
  </si>
  <si>
    <t>SM-X520NLBATPA</t>
  </si>
  <si>
    <t>TABLET,SM-X520,LIGHT BLUE,TPA</t>
  </si>
  <si>
    <t>SM-X520NLBETPA</t>
  </si>
  <si>
    <t>SM-X520NZAATPA</t>
  </si>
  <si>
    <t>TABLET,SM-X520,GRAY,TPA</t>
  </si>
  <si>
    <t>SM-X520NZAETPA</t>
  </si>
  <si>
    <t>SM-X520NZSATPA</t>
  </si>
  <si>
    <t>TABLET,SM-X520,SILVER,TPA</t>
  </si>
  <si>
    <t>SM-X520NZSETPA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</si>
  <si>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</si>
  <si>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</si>
  <si>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</si>
  <si>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</si>
  <si>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</si>
  <si>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</si>
  <si>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</si>
  <si>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</si>
  <si>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SM-X620NLBETPA</t>
  </si>
  <si>
    <t>SM-X620NZAATPA</t>
  </si>
  <si>
    <t>TABLET,SM-X620,GRAY,TPA</t>
  </si>
  <si>
    <t>SM-X620NZAETPA</t>
  </si>
  <si>
    <t>SM-X620NZSATPA</t>
  </si>
  <si>
    <t>TABLET,SM-X620,SILVER,TPA</t>
  </si>
  <si>
    <t>SM-X620NZSETPA</t>
  </si>
  <si>
    <t>SM-X626BZAATPA</t>
  </si>
  <si>
    <t>TABLET,SM-X626B,GRAY,TPA</t>
  </si>
  <si>
    <t>SM-X820NZADTPA</t>
  </si>
  <si>
    <t>TABLET,SM-X820,GRAY,TPA</t>
  </si>
  <si>
    <t>SM-X820NZSDTPA</t>
  </si>
  <si>
    <t>TABLET,SM-X820,SILVER,TPA</t>
  </si>
  <si>
    <t>SM-X920NZADTPA</t>
  </si>
  <si>
    <t>TABLET,SM-X920,GRAY,TPA</t>
  </si>
  <si>
    <t>SM-X920NZSDTPA</t>
  </si>
  <si>
    <t>TABLET,SM-X920,SILVER,TPA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</si>
</sst>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3" borderId="1" xfId="0" applyNumberFormat="1" applyFill="1" applyBorder="1"/>
    <xf numFmtId="3" fontId="0" fillId="3" borderId="1" xfId="0" applyNumberFormat="1" applyFill="1" applyBorder="1"/>
    <xf numFmtId="3" fontId="0" fillId="4" borderId="1" xfId="0" applyNumberFormat="1" applyFill="1" applyBorder="1"/>
    <xf numFmtId="8" fontId="0" fillId="4" borderId="1" xfId="0" applyNumberForma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83A55-6969-4BFF-B1C5-AE6AA6E4789E}">
  <sheetPr filterMode="1"/>
  <dimension ref="A1:P44"/>
  <sheetViews>
    <sheetView tabSelected="1" workbookViewId="0">
      <selection activeCell="K53" sqref="K53"/>
    </sheetView>
  </sheetViews>
  <sheetFormatPr defaultRowHeight="12.75" x14ac:dyDescent="0.2"/>
  <cols>
    <col min="1" max="1" width="20.140625" bestFit="1" customWidth="1"/>
    <col min="2" max="2" width="34.42578125" bestFit="1" customWidth="1"/>
    <col min="3" max="3" width="25.7109375" bestFit="1" customWidth="1"/>
    <col min="4" max="4" width="15.85546875" bestFit="1" customWidth="1"/>
    <col min="5" max="5" width="15.42578125" bestFit="1" customWidth="1"/>
    <col min="6" max="6" width="28.5703125" bestFit="1" customWidth="1"/>
    <col min="7" max="8" width="8.140625" bestFit="1" customWidth="1"/>
    <col min="9" max="9" width="10.7109375" bestFit="1" customWidth="1"/>
    <col min="10" max="10" width="8.85546875" bestFit="1" customWidth="1"/>
    <col min="11" max="11" width="11.42578125" bestFit="1" customWidth="1"/>
    <col min="13" max="13" width="11.7109375" bestFit="1" customWidth="1"/>
    <col min="14" max="14" width="19.28515625" bestFit="1" customWidth="1"/>
    <col min="15" max="15" width="18.42578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idden="1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3">
        <v>10</v>
      </c>
      <c r="H2" s="4">
        <v>3750</v>
      </c>
      <c r="I2" s="3">
        <v>37500</v>
      </c>
      <c r="J2" s="5">
        <v>0</v>
      </c>
      <c r="K2" s="6">
        <f>G2*J2</f>
        <v>0</v>
      </c>
      <c r="L2" s="4">
        <f>H2-J2</f>
        <v>3750</v>
      </c>
      <c r="M2" s="3">
        <f>K2-I2</f>
        <v>-37500</v>
      </c>
      <c r="N2" s="7">
        <v>45838</v>
      </c>
      <c r="O2" s="7">
        <v>45858</v>
      </c>
    </row>
    <row r="3" spans="1:15" hidden="1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20</v>
      </c>
      <c r="F3" s="2" t="s">
        <v>20</v>
      </c>
      <c r="G3" s="3">
        <v>10</v>
      </c>
      <c r="H3" s="4">
        <v>3360</v>
      </c>
      <c r="I3" s="3">
        <v>33600</v>
      </c>
      <c r="J3" s="5">
        <v>4860</v>
      </c>
      <c r="K3" s="6">
        <f t="shared" ref="K3:K44" si="0">G3*J3</f>
        <v>48600</v>
      </c>
      <c r="L3" s="4">
        <f t="shared" ref="L3:L44" si="1">H3-J3</f>
        <v>-1500</v>
      </c>
      <c r="M3" s="3">
        <f t="shared" ref="M3:M44" si="2">K3-I3</f>
        <v>15000</v>
      </c>
      <c r="N3" s="7">
        <v>45838</v>
      </c>
      <c r="O3" s="7">
        <v>45858</v>
      </c>
    </row>
    <row r="4" spans="1:15" hidden="1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21</v>
      </c>
      <c r="F4" s="2" t="s">
        <v>21</v>
      </c>
      <c r="G4" s="3">
        <v>5</v>
      </c>
      <c r="H4" s="4">
        <v>840</v>
      </c>
      <c r="I4" s="3">
        <v>4200</v>
      </c>
      <c r="J4" s="5">
        <v>228</v>
      </c>
      <c r="K4" s="6">
        <f t="shared" si="0"/>
        <v>1140</v>
      </c>
      <c r="L4" s="4">
        <f t="shared" si="1"/>
        <v>612</v>
      </c>
      <c r="M4" s="3">
        <f t="shared" si="2"/>
        <v>-3060</v>
      </c>
      <c r="N4" s="7">
        <v>45838</v>
      </c>
      <c r="O4" s="7">
        <v>45858</v>
      </c>
    </row>
    <row r="5" spans="1:15" hidden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22</v>
      </c>
      <c r="F5" s="2" t="s">
        <v>22</v>
      </c>
      <c r="G5" s="3">
        <v>10</v>
      </c>
      <c r="H5" s="4">
        <v>1260</v>
      </c>
      <c r="I5" s="3">
        <v>12600</v>
      </c>
      <c r="J5" s="5">
        <v>489</v>
      </c>
      <c r="K5" s="6">
        <f t="shared" si="0"/>
        <v>4890</v>
      </c>
      <c r="L5" s="4">
        <f t="shared" si="1"/>
        <v>771</v>
      </c>
      <c r="M5" s="3">
        <f t="shared" si="2"/>
        <v>-7710</v>
      </c>
      <c r="N5" s="7">
        <v>45838</v>
      </c>
      <c r="O5" s="7">
        <v>45858</v>
      </c>
    </row>
    <row r="6" spans="1:15" hidden="1" x14ac:dyDescent="0.2">
      <c r="A6" s="2" t="s">
        <v>15</v>
      </c>
      <c r="B6" s="2" t="s">
        <v>16</v>
      </c>
      <c r="C6" s="2" t="s">
        <v>17</v>
      </c>
      <c r="D6" s="2" t="s">
        <v>18</v>
      </c>
      <c r="E6" s="2" t="s">
        <v>23</v>
      </c>
      <c r="F6" s="2" t="s">
        <v>23</v>
      </c>
      <c r="G6" s="3">
        <v>10</v>
      </c>
      <c r="H6" s="4">
        <v>2100</v>
      </c>
      <c r="I6" s="3">
        <v>21000</v>
      </c>
      <c r="J6" s="5">
        <v>1066</v>
      </c>
      <c r="K6" s="6">
        <f t="shared" si="0"/>
        <v>10660</v>
      </c>
      <c r="L6" s="4">
        <f t="shared" si="1"/>
        <v>1034</v>
      </c>
      <c r="M6" s="3">
        <f t="shared" si="2"/>
        <v>-10340</v>
      </c>
      <c r="N6" s="7">
        <v>45838</v>
      </c>
      <c r="O6" s="7">
        <v>45858</v>
      </c>
    </row>
    <row r="7" spans="1:15" hidden="1" x14ac:dyDescent="0.2">
      <c r="A7" s="2" t="s">
        <v>15</v>
      </c>
      <c r="B7" s="2" t="s">
        <v>16</v>
      </c>
      <c r="C7" s="2" t="s">
        <v>17</v>
      </c>
      <c r="D7" s="2" t="s">
        <v>18</v>
      </c>
      <c r="E7" s="2" t="s">
        <v>24</v>
      </c>
      <c r="F7" s="2" t="s">
        <v>24</v>
      </c>
      <c r="G7" s="3">
        <v>10</v>
      </c>
      <c r="H7" s="4">
        <v>21</v>
      </c>
      <c r="I7" s="3">
        <v>210</v>
      </c>
      <c r="J7" s="5">
        <v>0</v>
      </c>
      <c r="K7" s="6">
        <f t="shared" si="0"/>
        <v>0</v>
      </c>
      <c r="L7" s="4">
        <f t="shared" si="1"/>
        <v>21</v>
      </c>
      <c r="M7" s="3">
        <f t="shared" si="2"/>
        <v>-210</v>
      </c>
      <c r="N7" s="7">
        <v>45838</v>
      </c>
      <c r="O7" s="7">
        <v>45858</v>
      </c>
    </row>
    <row r="8" spans="1:15" hidden="1" x14ac:dyDescent="0.2">
      <c r="A8" s="2" t="s">
        <v>15</v>
      </c>
      <c r="B8" s="2" t="s">
        <v>16</v>
      </c>
      <c r="C8" s="2" t="s">
        <v>17</v>
      </c>
      <c r="D8" s="2" t="s">
        <v>18</v>
      </c>
      <c r="E8" s="2" t="s">
        <v>25</v>
      </c>
      <c r="F8" s="2" t="s">
        <v>25</v>
      </c>
      <c r="G8" s="3">
        <v>10</v>
      </c>
      <c r="H8" s="4">
        <v>21</v>
      </c>
      <c r="I8" s="3">
        <v>210</v>
      </c>
      <c r="J8" s="5">
        <v>27</v>
      </c>
      <c r="K8" s="6">
        <f t="shared" si="0"/>
        <v>270</v>
      </c>
      <c r="L8" s="4">
        <f t="shared" si="1"/>
        <v>-6</v>
      </c>
      <c r="M8" s="3">
        <f t="shared" si="2"/>
        <v>60</v>
      </c>
      <c r="N8" s="7">
        <v>45838</v>
      </c>
      <c r="O8" s="7">
        <v>45858</v>
      </c>
    </row>
    <row r="9" spans="1:15" hidden="1" x14ac:dyDescent="0.2">
      <c r="A9" s="2" t="s">
        <v>15</v>
      </c>
      <c r="B9" s="2" t="s">
        <v>16</v>
      </c>
      <c r="C9" s="2" t="s">
        <v>17</v>
      </c>
      <c r="D9" s="2" t="s">
        <v>18</v>
      </c>
      <c r="E9" s="2" t="s">
        <v>26</v>
      </c>
      <c r="F9" s="2" t="s">
        <v>26</v>
      </c>
      <c r="G9" s="3">
        <v>30</v>
      </c>
      <c r="H9" s="4">
        <v>315</v>
      </c>
      <c r="I9" s="3">
        <v>9450</v>
      </c>
      <c r="J9" s="5">
        <v>592</v>
      </c>
      <c r="K9" s="6">
        <f t="shared" si="0"/>
        <v>17760</v>
      </c>
      <c r="L9" s="4">
        <f t="shared" si="1"/>
        <v>-277</v>
      </c>
      <c r="M9" s="3">
        <f t="shared" si="2"/>
        <v>8310</v>
      </c>
      <c r="N9" s="7">
        <v>45838</v>
      </c>
      <c r="O9" s="7">
        <v>45858</v>
      </c>
    </row>
    <row r="10" spans="1:15" hidden="1" x14ac:dyDescent="0.2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27</v>
      </c>
      <c r="F10" s="2" t="s">
        <v>27</v>
      </c>
      <c r="G10" s="3">
        <v>30</v>
      </c>
      <c r="H10" s="4">
        <v>126</v>
      </c>
      <c r="I10" s="3">
        <v>3780</v>
      </c>
      <c r="J10" s="5">
        <v>28</v>
      </c>
      <c r="K10" s="6">
        <f t="shared" si="0"/>
        <v>840</v>
      </c>
      <c r="L10" s="4">
        <f t="shared" si="1"/>
        <v>98</v>
      </c>
      <c r="M10" s="3">
        <f t="shared" si="2"/>
        <v>-2940</v>
      </c>
      <c r="N10" s="7">
        <v>45838</v>
      </c>
      <c r="O10" s="7">
        <v>45858</v>
      </c>
    </row>
    <row r="11" spans="1:15" hidden="1" x14ac:dyDescent="0.2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28</v>
      </c>
      <c r="F11" s="2" t="s">
        <v>28</v>
      </c>
      <c r="G11" s="3">
        <v>30</v>
      </c>
      <c r="H11" s="4">
        <v>126</v>
      </c>
      <c r="I11" s="3">
        <v>3780</v>
      </c>
      <c r="J11" s="5">
        <v>69</v>
      </c>
      <c r="K11" s="6">
        <f t="shared" si="0"/>
        <v>2070</v>
      </c>
      <c r="L11" s="4">
        <f t="shared" si="1"/>
        <v>57</v>
      </c>
      <c r="M11" s="3">
        <f t="shared" si="2"/>
        <v>-1710</v>
      </c>
      <c r="N11" s="7">
        <v>45838</v>
      </c>
      <c r="O11" s="7">
        <v>45858</v>
      </c>
    </row>
    <row r="12" spans="1:15" hidden="1" x14ac:dyDescent="0.2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29</v>
      </c>
      <c r="F12" s="2" t="s">
        <v>29</v>
      </c>
      <c r="G12" s="3">
        <v>30</v>
      </c>
      <c r="H12" s="4">
        <v>420</v>
      </c>
      <c r="I12" s="3">
        <v>12600</v>
      </c>
      <c r="J12" s="5">
        <v>595</v>
      </c>
      <c r="K12" s="6">
        <f t="shared" si="0"/>
        <v>17850</v>
      </c>
      <c r="L12" s="4">
        <f t="shared" si="1"/>
        <v>-175</v>
      </c>
      <c r="M12" s="3">
        <f t="shared" si="2"/>
        <v>5250</v>
      </c>
      <c r="N12" s="7">
        <v>45838</v>
      </c>
      <c r="O12" s="7">
        <v>45858</v>
      </c>
    </row>
    <row r="13" spans="1:15" hidden="1" x14ac:dyDescent="0.2">
      <c r="A13" s="2" t="s">
        <v>30</v>
      </c>
      <c r="B13" s="2" t="s">
        <v>31</v>
      </c>
      <c r="C13" s="2" t="s">
        <v>32</v>
      </c>
      <c r="D13" s="2" t="s">
        <v>18</v>
      </c>
      <c r="E13" s="2" t="s">
        <v>19</v>
      </c>
      <c r="F13" s="2" t="s">
        <v>19</v>
      </c>
      <c r="G13" s="3">
        <v>10</v>
      </c>
      <c r="H13" s="4">
        <v>1630</v>
      </c>
      <c r="I13" s="3">
        <v>16300</v>
      </c>
      <c r="J13" s="5">
        <v>8840</v>
      </c>
      <c r="K13" s="6">
        <f t="shared" si="0"/>
        <v>88400</v>
      </c>
      <c r="L13" s="4">
        <f t="shared" si="1"/>
        <v>-7210</v>
      </c>
      <c r="M13" s="3">
        <f t="shared" si="2"/>
        <v>72100</v>
      </c>
      <c r="N13" s="7">
        <v>45838</v>
      </c>
      <c r="O13" s="7">
        <v>45858</v>
      </c>
    </row>
    <row r="14" spans="1:15" hidden="1" x14ac:dyDescent="0.2">
      <c r="A14" s="2" t="s">
        <v>30</v>
      </c>
      <c r="B14" s="2" t="s">
        <v>31</v>
      </c>
      <c r="C14" s="2" t="s">
        <v>32</v>
      </c>
      <c r="D14" s="2" t="s">
        <v>18</v>
      </c>
      <c r="E14" s="2" t="s">
        <v>20</v>
      </c>
      <c r="F14" s="2" t="s">
        <v>20</v>
      </c>
      <c r="G14" s="3">
        <v>10</v>
      </c>
      <c r="H14" s="4">
        <v>4238</v>
      </c>
      <c r="I14" s="3">
        <v>42380</v>
      </c>
      <c r="J14" s="5">
        <v>1990</v>
      </c>
      <c r="K14" s="6">
        <f t="shared" si="0"/>
        <v>19900</v>
      </c>
      <c r="L14" s="4">
        <f t="shared" si="1"/>
        <v>2248</v>
      </c>
      <c r="M14" s="3">
        <f t="shared" si="2"/>
        <v>-22480</v>
      </c>
      <c r="N14" s="7">
        <v>45838</v>
      </c>
      <c r="O14" s="7">
        <v>45858</v>
      </c>
    </row>
    <row r="15" spans="1:15" hidden="1" x14ac:dyDescent="0.2">
      <c r="A15" s="2" t="s">
        <v>30</v>
      </c>
      <c r="B15" s="2" t="s">
        <v>31</v>
      </c>
      <c r="C15" s="2" t="s">
        <v>32</v>
      </c>
      <c r="D15" s="2" t="s">
        <v>18</v>
      </c>
      <c r="E15" s="2" t="s">
        <v>21</v>
      </c>
      <c r="F15" s="2" t="s">
        <v>21</v>
      </c>
      <c r="G15" s="3">
        <v>5</v>
      </c>
      <c r="H15" s="4">
        <v>639</v>
      </c>
      <c r="I15" s="3">
        <v>3195</v>
      </c>
      <c r="J15" s="5">
        <v>209</v>
      </c>
      <c r="K15" s="6">
        <f t="shared" si="0"/>
        <v>1045</v>
      </c>
      <c r="L15" s="4">
        <f t="shared" si="1"/>
        <v>430</v>
      </c>
      <c r="M15" s="3">
        <f t="shared" si="2"/>
        <v>-2150</v>
      </c>
      <c r="N15" s="7">
        <v>45838</v>
      </c>
      <c r="O15" s="7">
        <v>45858</v>
      </c>
    </row>
    <row r="16" spans="1:15" hidden="1" x14ac:dyDescent="0.2">
      <c r="A16" s="2" t="s">
        <v>30</v>
      </c>
      <c r="B16" s="2" t="s">
        <v>31</v>
      </c>
      <c r="C16" s="2" t="s">
        <v>32</v>
      </c>
      <c r="D16" s="2" t="s">
        <v>18</v>
      </c>
      <c r="E16" s="2" t="s">
        <v>22</v>
      </c>
      <c r="F16" s="2" t="s">
        <v>22</v>
      </c>
      <c r="G16" s="3">
        <v>10</v>
      </c>
      <c r="H16" s="4">
        <v>892</v>
      </c>
      <c r="I16" s="3">
        <v>8920</v>
      </c>
      <c r="J16" s="5">
        <v>200</v>
      </c>
      <c r="K16" s="6">
        <f t="shared" si="0"/>
        <v>2000</v>
      </c>
      <c r="L16" s="4">
        <f t="shared" si="1"/>
        <v>692</v>
      </c>
      <c r="M16" s="3">
        <f t="shared" si="2"/>
        <v>-6920</v>
      </c>
      <c r="N16" s="7">
        <v>45838</v>
      </c>
      <c r="O16" s="7">
        <v>45858</v>
      </c>
    </row>
    <row r="17" spans="1:16" hidden="1" x14ac:dyDescent="0.2">
      <c r="A17" s="2" t="s">
        <v>30</v>
      </c>
      <c r="B17" s="2" t="s">
        <v>31</v>
      </c>
      <c r="C17" s="2" t="s">
        <v>32</v>
      </c>
      <c r="D17" s="2" t="s">
        <v>18</v>
      </c>
      <c r="E17" s="2" t="s">
        <v>23</v>
      </c>
      <c r="F17" s="2" t="s">
        <v>23</v>
      </c>
      <c r="G17" s="3">
        <v>10</v>
      </c>
      <c r="H17" s="4">
        <v>827</v>
      </c>
      <c r="I17" s="3">
        <v>8270</v>
      </c>
      <c r="J17" s="5">
        <v>200</v>
      </c>
      <c r="K17" s="6">
        <f t="shared" si="0"/>
        <v>2000</v>
      </c>
      <c r="L17" s="4">
        <f t="shared" si="1"/>
        <v>627</v>
      </c>
      <c r="M17" s="3">
        <f t="shared" si="2"/>
        <v>-6270</v>
      </c>
      <c r="N17" s="7">
        <v>45838</v>
      </c>
      <c r="O17" s="7">
        <v>45858</v>
      </c>
    </row>
    <row r="18" spans="1:16" hidden="1" x14ac:dyDescent="0.2">
      <c r="A18" s="2" t="s">
        <v>30</v>
      </c>
      <c r="B18" s="2" t="s">
        <v>31</v>
      </c>
      <c r="C18" s="2" t="s">
        <v>32</v>
      </c>
      <c r="D18" s="2" t="s">
        <v>18</v>
      </c>
      <c r="E18" s="2" t="s">
        <v>24</v>
      </c>
      <c r="F18" s="2" t="s">
        <v>24</v>
      </c>
      <c r="G18" s="3">
        <v>10</v>
      </c>
      <c r="H18" s="4">
        <v>64</v>
      </c>
      <c r="I18" s="3">
        <v>640</v>
      </c>
      <c r="J18" s="5">
        <v>0</v>
      </c>
      <c r="K18" s="6">
        <f t="shared" si="0"/>
        <v>0</v>
      </c>
      <c r="L18" s="4">
        <f t="shared" si="1"/>
        <v>64</v>
      </c>
      <c r="M18" s="3">
        <f t="shared" si="2"/>
        <v>-640</v>
      </c>
      <c r="N18" s="7">
        <v>45838</v>
      </c>
      <c r="O18" s="7">
        <v>45858</v>
      </c>
    </row>
    <row r="19" spans="1:16" hidden="1" x14ac:dyDescent="0.2">
      <c r="A19" s="2" t="s">
        <v>30</v>
      </c>
      <c r="B19" s="2" t="s">
        <v>31</v>
      </c>
      <c r="C19" s="2" t="s">
        <v>32</v>
      </c>
      <c r="D19" s="2" t="s">
        <v>18</v>
      </c>
      <c r="E19" s="2" t="s">
        <v>25</v>
      </c>
      <c r="F19" s="2" t="s">
        <v>25</v>
      </c>
      <c r="G19" s="3">
        <v>10</v>
      </c>
      <c r="H19" s="4">
        <v>250</v>
      </c>
      <c r="I19" s="3">
        <v>2500</v>
      </c>
      <c r="J19" s="5">
        <v>0</v>
      </c>
      <c r="K19" s="6">
        <f t="shared" si="0"/>
        <v>0</v>
      </c>
      <c r="L19" s="4">
        <f t="shared" si="1"/>
        <v>250</v>
      </c>
      <c r="M19" s="3">
        <f t="shared" si="2"/>
        <v>-2500</v>
      </c>
      <c r="N19" s="7">
        <v>45838</v>
      </c>
      <c r="O19" s="7">
        <v>45858</v>
      </c>
    </row>
    <row r="20" spans="1:16" hidden="1" x14ac:dyDescent="0.2">
      <c r="A20" s="2" t="s">
        <v>30</v>
      </c>
      <c r="B20" s="2" t="s">
        <v>31</v>
      </c>
      <c r="C20" s="2" t="s">
        <v>32</v>
      </c>
      <c r="D20" s="2" t="s">
        <v>18</v>
      </c>
      <c r="E20" s="2" t="s">
        <v>26</v>
      </c>
      <c r="F20" s="2" t="s">
        <v>26</v>
      </c>
      <c r="G20" s="3">
        <v>30</v>
      </c>
      <c r="H20" s="4">
        <v>513</v>
      </c>
      <c r="I20" s="3">
        <v>15390</v>
      </c>
      <c r="J20" s="5">
        <v>100</v>
      </c>
      <c r="K20" s="6">
        <f t="shared" si="0"/>
        <v>3000</v>
      </c>
      <c r="L20" s="4">
        <f t="shared" si="1"/>
        <v>413</v>
      </c>
      <c r="M20" s="3">
        <f t="shared" si="2"/>
        <v>-12390</v>
      </c>
      <c r="N20" s="7">
        <v>45838</v>
      </c>
      <c r="O20" s="7">
        <v>45858</v>
      </c>
    </row>
    <row r="21" spans="1:16" hidden="1" x14ac:dyDescent="0.2">
      <c r="A21" s="2" t="s">
        <v>30</v>
      </c>
      <c r="B21" s="2" t="s">
        <v>31</v>
      </c>
      <c r="C21" s="2" t="s">
        <v>32</v>
      </c>
      <c r="D21" s="2" t="s">
        <v>18</v>
      </c>
      <c r="E21" s="2" t="s">
        <v>27</v>
      </c>
      <c r="F21" s="2" t="s">
        <v>27</v>
      </c>
      <c r="G21" s="3">
        <v>30</v>
      </c>
      <c r="H21" s="4">
        <v>125</v>
      </c>
      <c r="I21" s="3">
        <v>3750</v>
      </c>
      <c r="J21" s="5">
        <v>40</v>
      </c>
      <c r="K21" s="6">
        <f t="shared" si="0"/>
        <v>1200</v>
      </c>
      <c r="L21" s="4">
        <f t="shared" si="1"/>
        <v>85</v>
      </c>
      <c r="M21" s="3">
        <f t="shared" si="2"/>
        <v>-2550</v>
      </c>
      <c r="N21" s="7">
        <v>45838</v>
      </c>
      <c r="O21" s="7">
        <v>45858</v>
      </c>
    </row>
    <row r="22" spans="1:16" hidden="1" x14ac:dyDescent="0.2">
      <c r="A22" s="2" t="s">
        <v>30</v>
      </c>
      <c r="B22" s="2" t="s">
        <v>31</v>
      </c>
      <c r="C22" s="2" t="s">
        <v>32</v>
      </c>
      <c r="D22" s="2" t="s">
        <v>18</v>
      </c>
      <c r="E22" s="2" t="s">
        <v>28</v>
      </c>
      <c r="F22" s="2" t="s">
        <v>28</v>
      </c>
      <c r="G22" s="3">
        <v>30</v>
      </c>
      <c r="H22" s="4">
        <v>87</v>
      </c>
      <c r="I22" s="3">
        <v>2610</v>
      </c>
      <c r="J22" s="5">
        <v>0</v>
      </c>
      <c r="K22" s="6">
        <f t="shared" si="0"/>
        <v>0</v>
      </c>
      <c r="L22" s="4">
        <f t="shared" si="1"/>
        <v>87</v>
      </c>
      <c r="M22" s="3">
        <f t="shared" si="2"/>
        <v>-2610</v>
      </c>
      <c r="N22" s="7">
        <v>45838</v>
      </c>
      <c r="O22" s="7">
        <v>45858</v>
      </c>
    </row>
    <row r="23" spans="1:16" hidden="1" x14ac:dyDescent="0.2">
      <c r="A23" s="2" t="s">
        <v>30</v>
      </c>
      <c r="B23" s="2" t="s">
        <v>31</v>
      </c>
      <c r="C23" s="2" t="s">
        <v>32</v>
      </c>
      <c r="D23" s="2" t="s">
        <v>18</v>
      </c>
      <c r="E23" s="2" t="s">
        <v>29</v>
      </c>
      <c r="F23" s="2" t="s">
        <v>29</v>
      </c>
      <c r="G23" s="3">
        <v>30</v>
      </c>
      <c r="H23" s="4">
        <v>431</v>
      </c>
      <c r="I23" s="3">
        <v>12930</v>
      </c>
      <c r="J23" s="5">
        <v>0</v>
      </c>
      <c r="K23" s="6">
        <f t="shared" si="0"/>
        <v>0</v>
      </c>
      <c r="L23" s="4">
        <f t="shared" si="1"/>
        <v>431</v>
      </c>
      <c r="M23" s="3">
        <f t="shared" si="2"/>
        <v>-12930</v>
      </c>
      <c r="N23" s="7">
        <v>45838</v>
      </c>
      <c r="O23" s="7">
        <v>45858</v>
      </c>
    </row>
    <row r="24" spans="1:16" x14ac:dyDescent="0.2">
      <c r="A24" s="2" t="s">
        <v>33</v>
      </c>
      <c r="B24" s="2" t="s">
        <v>34</v>
      </c>
      <c r="C24" s="2" t="s">
        <v>35</v>
      </c>
      <c r="D24" s="2" t="s">
        <v>18</v>
      </c>
      <c r="E24" s="2" t="s">
        <v>36</v>
      </c>
      <c r="F24" s="2" t="s">
        <v>36</v>
      </c>
      <c r="G24" s="3">
        <v>20</v>
      </c>
      <c r="H24" s="4">
        <v>1666</v>
      </c>
      <c r="I24" s="3">
        <v>33320</v>
      </c>
      <c r="J24" s="5">
        <v>4008</v>
      </c>
      <c r="K24" s="6">
        <f t="shared" si="0"/>
        <v>80160</v>
      </c>
      <c r="L24" s="4">
        <f t="shared" si="1"/>
        <v>-2342</v>
      </c>
      <c r="M24" s="3">
        <f t="shared" si="2"/>
        <v>46840</v>
      </c>
      <c r="N24" s="7">
        <v>45838</v>
      </c>
      <c r="O24" s="7">
        <v>45858</v>
      </c>
      <c r="P24">
        <v>1429</v>
      </c>
    </row>
    <row r="25" spans="1:16" hidden="1" x14ac:dyDescent="0.2">
      <c r="A25" s="2" t="s">
        <v>37</v>
      </c>
      <c r="B25" s="2" t="s">
        <v>38</v>
      </c>
      <c r="C25" s="2" t="s">
        <v>39</v>
      </c>
      <c r="D25" s="2" t="s">
        <v>18</v>
      </c>
      <c r="E25" s="2" t="s">
        <v>40</v>
      </c>
      <c r="F25" s="2" t="s">
        <v>41</v>
      </c>
      <c r="G25" s="3">
        <v>30</v>
      </c>
      <c r="H25" s="4">
        <v>333</v>
      </c>
      <c r="I25" s="3">
        <v>9990</v>
      </c>
      <c r="J25" s="5">
        <v>262</v>
      </c>
      <c r="K25" s="6">
        <f t="shared" si="0"/>
        <v>7860</v>
      </c>
      <c r="L25" s="4">
        <f t="shared" si="1"/>
        <v>71</v>
      </c>
      <c r="M25" s="3">
        <f t="shared" si="2"/>
        <v>-2130</v>
      </c>
      <c r="N25" s="7">
        <v>45838</v>
      </c>
      <c r="O25" s="7">
        <v>45858</v>
      </c>
    </row>
    <row r="26" spans="1:16" hidden="1" x14ac:dyDescent="0.2">
      <c r="A26" s="2" t="s">
        <v>37</v>
      </c>
      <c r="B26" s="2" t="s">
        <v>38</v>
      </c>
      <c r="C26" s="2" t="s">
        <v>39</v>
      </c>
      <c r="D26" s="2" t="s">
        <v>18</v>
      </c>
      <c r="E26" s="2" t="s">
        <v>42</v>
      </c>
      <c r="F26" s="2" t="s">
        <v>41</v>
      </c>
      <c r="G26" s="3">
        <v>30</v>
      </c>
      <c r="H26" s="4">
        <v>1</v>
      </c>
      <c r="I26" s="3">
        <v>30</v>
      </c>
      <c r="J26" s="5">
        <v>0</v>
      </c>
      <c r="K26" s="6">
        <f t="shared" si="0"/>
        <v>0</v>
      </c>
      <c r="L26" s="4">
        <f t="shared" si="1"/>
        <v>1</v>
      </c>
      <c r="M26" s="3">
        <f t="shared" si="2"/>
        <v>-30</v>
      </c>
      <c r="N26" s="7">
        <v>45838</v>
      </c>
      <c r="O26" s="7">
        <v>45858</v>
      </c>
    </row>
    <row r="27" spans="1:16" hidden="1" x14ac:dyDescent="0.2">
      <c r="A27" s="2" t="s">
        <v>37</v>
      </c>
      <c r="B27" s="2" t="s">
        <v>38</v>
      </c>
      <c r="C27" s="2" t="s">
        <v>39</v>
      </c>
      <c r="D27" s="2" t="s">
        <v>18</v>
      </c>
      <c r="E27" s="2" t="s">
        <v>43</v>
      </c>
      <c r="F27" s="2" t="s">
        <v>44</v>
      </c>
      <c r="G27" s="3">
        <v>30</v>
      </c>
      <c r="H27" s="4">
        <v>194</v>
      </c>
      <c r="I27" s="3">
        <v>5820</v>
      </c>
      <c r="J27" s="5">
        <v>179</v>
      </c>
      <c r="K27" s="6">
        <f t="shared" si="0"/>
        <v>5370</v>
      </c>
      <c r="L27" s="4">
        <f t="shared" si="1"/>
        <v>15</v>
      </c>
      <c r="M27" s="3">
        <f t="shared" si="2"/>
        <v>-450</v>
      </c>
      <c r="N27" s="7">
        <v>45838</v>
      </c>
      <c r="O27" s="7">
        <v>45858</v>
      </c>
    </row>
    <row r="28" spans="1:16" hidden="1" x14ac:dyDescent="0.2">
      <c r="A28" s="2" t="s">
        <v>37</v>
      </c>
      <c r="B28" s="2" t="s">
        <v>38</v>
      </c>
      <c r="C28" s="2" t="s">
        <v>39</v>
      </c>
      <c r="D28" s="2" t="s">
        <v>18</v>
      </c>
      <c r="E28" s="2" t="s">
        <v>45</v>
      </c>
      <c r="F28" s="2" t="s">
        <v>44</v>
      </c>
      <c r="G28" s="3">
        <v>30</v>
      </c>
      <c r="H28" s="4">
        <v>1</v>
      </c>
      <c r="I28" s="3">
        <v>30</v>
      </c>
      <c r="J28" s="5">
        <v>0</v>
      </c>
      <c r="K28" s="6">
        <f t="shared" si="0"/>
        <v>0</v>
      </c>
      <c r="L28" s="4">
        <f t="shared" si="1"/>
        <v>1</v>
      </c>
      <c r="M28" s="3">
        <f t="shared" si="2"/>
        <v>-30</v>
      </c>
      <c r="N28" s="7">
        <v>45838</v>
      </c>
      <c r="O28" s="7">
        <v>45858</v>
      </c>
    </row>
    <row r="29" spans="1:16" hidden="1" x14ac:dyDescent="0.2">
      <c r="A29" s="2" t="s">
        <v>37</v>
      </c>
      <c r="B29" s="2" t="s">
        <v>38</v>
      </c>
      <c r="C29" s="2" t="s">
        <v>39</v>
      </c>
      <c r="D29" s="2" t="s">
        <v>18</v>
      </c>
      <c r="E29" s="2" t="s">
        <v>46</v>
      </c>
      <c r="F29" s="2" t="s">
        <v>47</v>
      </c>
      <c r="G29" s="3">
        <v>30</v>
      </c>
      <c r="H29" s="4">
        <v>226</v>
      </c>
      <c r="I29" s="3">
        <v>6780</v>
      </c>
      <c r="J29" s="5">
        <v>308</v>
      </c>
      <c r="K29" s="6">
        <f t="shared" si="0"/>
        <v>9240</v>
      </c>
      <c r="L29" s="4">
        <f t="shared" si="1"/>
        <v>-82</v>
      </c>
      <c r="M29" s="3">
        <f t="shared" si="2"/>
        <v>2460</v>
      </c>
      <c r="N29" s="7">
        <v>45838</v>
      </c>
      <c r="O29" s="7">
        <v>45858</v>
      </c>
    </row>
    <row r="30" spans="1:16" hidden="1" x14ac:dyDescent="0.2">
      <c r="A30" s="2" t="s">
        <v>37</v>
      </c>
      <c r="B30" s="2" t="s">
        <v>38</v>
      </c>
      <c r="C30" s="2" t="s">
        <v>39</v>
      </c>
      <c r="D30" s="2" t="s">
        <v>18</v>
      </c>
      <c r="E30" s="2" t="s">
        <v>48</v>
      </c>
      <c r="F30" s="2" t="s">
        <v>47</v>
      </c>
      <c r="G30" s="3">
        <v>30</v>
      </c>
      <c r="H30" s="4">
        <v>1</v>
      </c>
      <c r="I30" s="3">
        <v>30</v>
      </c>
      <c r="J30" s="5">
        <v>0</v>
      </c>
      <c r="K30" s="6">
        <f t="shared" si="0"/>
        <v>0</v>
      </c>
      <c r="L30" s="4">
        <f t="shared" si="1"/>
        <v>1</v>
      </c>
      <c r="M30" s="3">
        <f t="shared" si="2"/>
        <v>-30</v>
      </c>
      <c r="N30" s="7">
        <v>45838</v>
      </c>
      <c r="O30" s="7">
        <v>45858</v>
      </c>
    </row>
    <row r="31" spans="1:16" hidden="1" x14ac:dyDescent="0.2">
      <c r="A31" s="2" t="s">
        <v>37</v>
      </c>
      <c r="B31" s="2" t="s">
        <v>38</v>
      </c>
      <c r="C31" s="2" t="s">
        <v>39</v>
      </c>
      <c r="D31" s="2" t="s">
        <v>18</v>
      </c>
      <c r="E31" s="2" t="s">
        <v>49</v>
      </c>
      <c r="F31" s="2" t="s">
        <v>50</v>
      </c>
      <c r="G31" s="3">
        <v>30</v>
      </c>
      <c r="H31" s="4">
        <v>121</v>
      </c>
      <c r="I31" s="3">
        <v>3630</v>
      </c>
      <c r="J31" s="5">
        <v>54</v>
      </c>
      <c r="K31" s="6">
        <f t="shared" si="0"/>
        <v>1620</v>
      </c>
      <c r="L31" s="4">
        <f t="shared" si="1"/>
        <v>67</v>
      </c>
      <c r="M31" s="3">
        <f t="shared" si="2"/>
        <v>-2010</v>
      </c>
      <c r="N31" s="7">
        <v>45838</v>
      </c>
      <c r="O31" s="7">
        <v>45858</v>
      </c>
    </row>
    <row r="32" spans="1:16" hidden="1" x14ac:dyDescent="0.2">
      <c r="A32" s="2" t="s">
        <v>37</v>
      </c>
      <c r="B32" s="2" t="s">
        <v>38</v>
      </c>
      <c r="C32" s="2" t="s">
        <v>39</v>
      </c>
      <c r="D32" s="2" t="s">
        <v>18</v>
      </c>
      <c r="E32" s="2" t="s">
        <v>51</v>
      </c>
      <c r="F32" s="2" t="s">
        <v>52</v>
      </c>
      <c r="G32" s="3">
        <v>30</v>
      </c>
      <c r="H32" s="4">
        <v>95</v>
      </c>
      <c r="I32" s="3">
        <v>2850</v>
      </c>
      <c r="J32" s="5">
        <v>104</v>
      </c>
      <c r="K32" s="6">
        <f t="shared" si="0"/>
        <v>3120</v>
      </c>
      <c r="L32" s="4">
        <f t="shared" si="1"/>
        <v>-9</v>
      </c>
      <c r="M32" s="3">
        <f t="shared" si="2"/>
        <v>270</v>
      </c>
      <c r="N32" s="7">
        <v>45838</v>
      </c>
      <c r="O32" s="7">
        <v>45858</v>
      </c>
    </row>
    <row r="33" spans="1:15" hidden="1" x14ac:dyDescent="0.2">
      <c r="A33" s="2" t="s">
        <v>37</v>
      </c>
      <c r="B33" s="2" t="s">
        <v>38</v>
      </c>
      <c r="C33" s="2" t="s">
        <v>39</v>
      </c>
      <c r="D33" s="2" t="s">
        <v>18</v>
      </c>
      <c r="E33" s="2" t="s">
        <v>53</v>
      </c>
      <c r="F33" s="2" t="s">
        <v>54</v>
      </c>
      <c r="G33" s="3">
        <v>30</v>
      </c>
      <c r="H33" s="4">
        <v>181</v>
      </c>
      <c r="I33" s="3">
        <v>5430</v>
      </c>
      <c r="J33" s="5">
        <v>95</v>
      </c>
      <c r="K33" s="6">
        <f t="shared" si="0"/>
        <v>2850</v>
      </c>
      <c r="L33" s="4">
        <f t="shared" si="1"/>
        <v>86</v>
      </c>
      <c r="M33" s="3">
        <f t="shared" si="2"/>
        <v>-2580</v>
      </c>
      <c r="N33" s="7">
        <v>45838</v>
      </c>
      <c r="O33" s="7">
        <v>45858</v>
      </c>
    </row>
    <row r="34" spans="1:15" hidden="1" x14ac:dyDescent="0.2">
      <c r="A34" s="2" t="s">
        <v>37</v>
      </c>
      <c r="B34" s="2" t="s">
        <v>38</v>
      </c>
      <c r="C34" s="2" t="s">
        <v>39</v>
      </c>
      <c r="D34" s="2" t="s">
        <v>18</v>
      </c>
      <c r="E34" s="2" t="s">
        <v>55</v>
      </c>
      <c r="F34" s="2" t="s">
        <v>56</v>
      </c>
      <c r="G34" s="3">
        <v>30</v>
      </c>
      <c r="H34" s="4">
        <v>96</v>
      </c>
      <c r="I34" s="3">
        <v>2880</v>
      </c>
      <c r="J34" s="5">
        <v>50</v>
      </c>
      <c r="K34" s="6">
        <f t="shared" si="0"/>
        <v>1500</v>
      </c>
      <c r="L34" s="4">
        <f t="shared" si="1"/>
        <v>46</v>
      </c>
      <c r="M34" s="3">
        <f t="shared" si="2"/>
        <v>-1380</v>
      </c>
      <c r="N34" s="7">
        <v>45838</v>
      </c>
      <c r="O34" s="7">
        <v>45858</v>
      </c>
    </row>
    <row r="35" spans="1:15" hidden="1" x14ac:dyDescent="0.2">
      <c r="A35" s="2" t="s">
        <v>37</v>
      </c>
      <c r="B35" s="2" t="s">
        <v>38</v>
      </c>
      <c r="C35" s="2" t="s">
        <v>39</v>
      </c>
      <c r="D35" s="2" t="s">
        <v>18</v>
      </c>
      <c r="E35" s="2" t="s">
        <v>57</v>
      </c>
      <c r="F35" s="2" t="s">
        <v>56</v>
      </c>
      <c r="G35" s="3">
        <v>30</v>
      </c>
      <c r="H35" s="4">
        <v>1</v>
      </c>
      <c r="I35" s="3">
        <v>30</v>
      </c>
      <c r="J35" s="5">
        <v>0</v>
      </c>
      <c r="K35" s="6">
        <f t="shared" si="0"/>
        <v>0</v>
      </c>
      <c r="L35" s="4">
        <f t="shared" si="1"/>
        <v>1</v>
      </c>
      <c r="M35" s="3">
        <f t="shared" si="2"/>
        <v>-30</v>
      </c>
      <c r="N35" s="7">
        <v>45838</v>
      </c>
      <c r="O35" s="7">
        <v>45858</v>
      </c>
    </row>
    <row r="36" spans="1:15" hidden="1" x14ac:dyDescent="0.2">
      <c r="A36" s="2" t="s">
        <v>37</v>
      </c>
      <c r="B36" s="2" t="s">
        <v>38</v>
      </c>
      <c r="C36" s="2" t="s">
        <v>39</v>
      </c>
      <c r="D36" s="2" t="s">
        <v>18</v>
      </c>
      <c r="E36" s="2" t="s">
        <v>58</v>
      </c>
      <c r="F36" s="2" t="s">
        <v>59</v>
      </c>
      <c r="G36" s="3">
        <v>30</v>
      </c>
      <c r="H36" s="4">
        <v>108</v>
      </c>
      <c r="I36" s="3">
        <v>3240</v>
      </c>
      <c r="J36" s="5">
        <v>53</v>
      </c>
      <c r="K36" s="6">
        <f t="shared" si="0"/>
        <v>1590</v>
      </c>
      <c r="L36" s="4">
        <f t="shared" si="1"/>
        <v>55</v>
      </c>
      <c r="M36" s="3">
        <f t="shared" si="2"/>
        <v>-1650</v>
      </c>
      <c r="N36" s="7">
        <v>45838</v>
      </c>
      <c r="O36" s="7">
        <v>45858</v>
      </c>
    </row>
    <row r="37" spans="1:15" hidden="1" x14ac:dyDescent="0.2">
      <c r="A37" s="2" t="s">
        <v>37</v>
      </c>
      <c r="B37" s="2" t="s">
        <v>38</v>
      </c>
      <c r="C37" s="2" t="s">
        <v>39</v>
      </c>
      <c r="D37" s="2" t="s">
        <v>18</v>
      </c>
      <c r="E37" s="2" t="s">
        <v>60</v>
      </c>
      <c r="F37" s="2" t="s">
        <v>59</v>
      </c>
      <c r="G37" s="3">
        <v>30</v>
      </c>
      <c r="H37" s="4">
        <v>1</v>
      </c>
      <c r="I37" s="3">
        <v>30</v>
      </c>
      <c r="J37" s="5">
        <v>0</v>
      </c>
      <c r="K37" s="6">
        <f t="shared" si="0"/>
        <v>0</v>
      </c>
      <c r="L37" s="4">
        <f t="shared" si="1"/>
        <v>1</v>
      </c>
      <c r="M37" s="3">
        <f t="shared" si="2"/>
        <v>-30</v>
      </c>
      <c r="N37" s="7">
        <v>45838</v>
      </c>
      <c r="O37" s="7">
        <v>45858</v>
      </c>
    </row>
    <row r="38" spans="1:15" hidden="1" x14ac:dyDescent="0.2">
      <c r="A38" s="2" t="s">
        <v>37</v>
      </c>
      <c r="B38" s="2" t="s">
        <v>38</v>
      </c>
      <c r="C38" s="2" t="s">
        <v>39</v>
      </c>
      <c r="D38" s="2" t="s">
        <v>18</v>
      </c>
      <c r="E38" s="2" t="s">
        <v>61</v>
      </c>
      <c r="F38" s="2" t="s">
        <v>62</v>
      </c>
      <c r="G38" s="3">
        <v>30</v>
      </c>
      <c r="H38" s="4">
        <v>136</v>
      </c>
      <c r="I38" s="3">
        <v>4080</v>
      </c>
      <c r="J38" s="5">
        <v>50</v>
      </c>
      <c r="K38" s="6">
        <f t="shared" si="0"/>
        <v>1500</v>
      </c>
      <c r="L38" s="4">
        <f t="shared" si="1"/>
        <v>86</v>
      </c>
      <c r="M38" s="3">
        <f t="shared" si="2"/>
        <v>-2580</v>
      </c>
      <c r="N38" s="7">
        <v>45838</v>
      </c>
      <c r="O38" s="7">
        <v>45858</v>
      </c>
    </row>
    <row r="39" spans="1:15" hidden="1" x14ac:dyDescent="0.2">
      <c r="A39" s="2" t="s">
        <v>37</v>
      </c>
      <c r="B39" s="2" t="s">
        <v>38</v>
      </c>
      <c r="C39" s="2" t="s">
        <v>39</v>
      </c>
      <c r="D39" s="2" t="s">
        <v>18</v>
      </c>
      <c r="E39" s="2" t="s">
        <v>63</v>
      </c>
      <c r="F39" s="2" t="s">
        <v>62</v>
      </c>
      <c r="G39" s="3">
        <v>30</v>
      </c>
      <c r="H39" s="4">
        <v>1</v>
      </c>
      <c r="I39" s="3">
        <v>30</v>
      </c>
      <c r="J39" s="5">
        <v>0</v>
      </c>
      <c r="K39" s="6">
        <f t="shared" si="0"/>
        <v>0</v>
      </c>
      <c r="L39" s="4">
        <f t="shared" si="1"/>
        <v>1</v>
      </c>
      <c r="M39" s="3">
        <f t="shared" si="2"/>
        <v>-30</v>
      </c>
      <c r="N39" s="7">
        <v>45838</v>
      </c>
      <c r="O39" s="7">
        <v>45858</v>
      </c>
    </row>
    <row r="40" spans="1:15" hidden="1" x14ac:dyDescent="0.2">
      <c r="A40" s="2" t="s">
        <v>37</v>
      </c>
      <c r="B40" s="2" t="s">
        <v>38</v>
      </c>
      <c r="C40" s="2" t="s">
        <v>39</v>
      </c>
      <c r="D40" s="2" t="s">
        <v>18</v>
      </c>
      <c r="E40" s="2" t="s">
        <v>64</v>
      </c>
      <c r="F40" s="2" t="s">
        <v>65</v>
      </c>
      <c r="G40" s="3">
        <v>30</v>
      </c>
      <c r="H40" s="4">
        <v>54</v>
      </c>
      <c r="I40" s="3">
        <v>1620</v>
      </c>
      <c r="J40" s="5">
        <v>78</v>
      </c>
      <c r="K40" s="6">
        <f t="shared" si="0"/>
        <v>2340</v>
      </c>
      <c r="L40" s="4">
        <f t="shared" si="1"/>
        <v>-24</v>
      </c>
      <c r="M40" s="3">
        <f t="shared" si="2"/>
        <v>720</v>
      </c>
      <c r="N40" s="7">
        <v>45838</v>
      </c>
      <c r="O40" s="7">
        <v>45858</v>
      </c>
    </row>
    <row r="41" spans="1:15" hidden="1" x14ac:dyDescent="0.2">
      <c r="A41" s="2" t="s">
        <v>37</v>
      </c>
      <c r="B41" s="2" t="s">
        <v>38</v>
      </c>
      <c r="C41" s="2" t="s">
        <v>39</v>
      </c>
      <c r="D41" s="2" t="s">
        <v>18</v>
      </c>
      <c r="E41" s="2" t="s">
        <v>66</v>
      </c>
      <c r="F41" s="2" t="s">
        <v>67</v>
      </c>
      <c r="G41" s="3">
        <v>30</v>
      </c>
      <c r="H41" s="4">
        <v>210</v>
      </c>
      <c r="I41" s="3">
        <v>6300</v>
      </c>
      <c r="J41" s="5">
        <v>75</v>
      </c>
      <c r="K41" s="6">
        <f t="shared" si="0"/>
        <v>2250</v>
      </c>
      <c r="L41" s="4">
        <f t="shared" si="1"/>
        <v>135</v>
      </c>
      <c r="M41" s="3">
        <f t="shared" si="2"/>
        <v>-4050</v>
      </c>
      <c r="N41" s="7">
        <v>45838</v>
      </c>
      <c r="O41" s="7">
        <v>45858</v>
      </c>
    </row>
    <row r="42" spans="1:15" hidden="1" x14ac:dyDescent="0.2">
      <c r="A42" s="2" t="s">
        <v>37</v>
      </c>
      <c r="B42" s="2" t="s">
        <v>38</v>
      </c>
      <c r="C42" s="2" t="s">
        <v>39</v>
      </c>
      <c r="D42" s="2" t="s">
        <v>18</v>
      </c>
      <c r="E42" s="2" t="s">
        <v>68</v>
      </c>
      <c r="F42" s="2" t="s">
        <v>69</v>
      </c>
      <c r="G42" s="3">
        <v>30</v>
      </c>
      <c r="H42" s="4">
        <v>286</v>
      </c>
      <c r="I42" s="3">
        <v>8580</v>
      </c>
      <c r="J42" s="5">
        <v>76</v>
      </c>
      <c r="K42" s="6">
        <f t="shared" si="0"/>
        <v>2280</v>
      </c>
      <c r="L42" s="4">
        <f t="shared" si="1"/>
        <v>210</v>
      </c>
      <c r="M42" s="3">
        <f t="shared" si="2"/>
        <v>-6300</v>
      </c>
      <c r="N42" s="7">
        <v>45838</v>
      </c>
      <c r="O42" s="7">
        <v>45858</v>
      </c>
    </row>
    <row r="43" spans="1:15" hidden="1" x14ac:dyDescent="0.2">
      <c r="A43" s="2" t="s">
        <v>37</v>
      </c>
      <c r="B43" s="2" t="s">
        <v>38</v>
      </c>
      <c r="C43" s="2" t="s">
        <v>39</v>
      </c>
      <c r="D43" s="2" t="s">
        <v>18</v>
      </c>
      <c r="E43" s="2" t="s">
        <v>70</v>
      </c>
      <c r="F43" s="2" t="s">
        <v>71</v>
      </c>
      <c r="G43" s="3">
        <v>30</v>
      </c>
      <c r="H43" s="4">
        <v>205</v>
      </c>
      <c r="I43" s="3">
        <v>6150</v>
      </c>
      <c r="J43" s="5">
        <v>101</v>
      </c>
      <c r="K43" s="6">
        <f t="shared" si="0"/>
        <v>3030</v>
      </c>
      <c r="L43" s="4">
        <f t="shared" si="1"/>
        <v>104</v>
      </c>
      <c r="M43" s="3">
        <f t="shared" si="2"/>
        <v>-3120</v>
      </c>
      <c r="N43" s="7">
        <v>45838</v>
      </c>
      <c r="O43" s="7">
        <v>45858</v>
      </c>
    </row>
    <row r="44" spans="1:15" hidden="1" x14ac:dyDescent="0.2">
      <c r="A44" s="2" t="s">
        <v>37</v>
      </c>
      <c r="B44" s="2" t="s">
        <v>38</v>
      </c>
      <c r="C44" s="2" t="s">
        <v>39</v>
      </c>
      <c r="D44" s="2" t="s">
        <v>18</v>
      </c>
      <c r="E44" s="2" t="s">
        <v>72</v>
      </c>
      <c r="F44" s="2" t="s">
        <v>73</v>
      </c>
      <c r="G44" s="3">
        <v>30</v>
      </c>
      <c r="H44" s="4">
        <v>207</v>
      </c>
      <c r="I44" s="3">
        <v>6210</v>
      </c>
      <c r="J44" s="5">
        <v>76</v>
      </c>
      <c r="K44" s="6">
        <f t="shared" si="0"/>
        <v>2280</v>
      </c>
      <c r="L44" s="4">
        <f t="shared" si="1"/>
        <v>131</v>
      </c>
      <c r="M44" s="3">
        <f t="shared" si="2"/>
        <v>-3930</v>
      </c>
      <c r="N44" s="7">
        <v>45838</v>
      </c>
      <c r="O44" s="7">
        <v>45858</v>
      </c>
    </row>
  </sheetData>
  <autoFilter ref="A1:O44" xr:uid="{E3283A55-6969-4BFF-B1C5-AE6AA6E4789E}">
    <filterColumn colId="0">
      <filters>
        <filter val="A0S3A0A25000070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Olha Dzharyha/MX Carrier Sales (MIA)/Professional/Samsung Electronics</dc:creator>
  <cp:lastModifiedBy>Sebastian Aristizabal</cp:lastModifiedBy>
  <dcterms:created xsi:type="dcterms:W3CDTF">2025-07-15T14:50:19Z</dcterms:created>
  <dcterms:modified xsi:type="dcterms:W3CDTF">2025-07-21T14:10:38Z</dcterms:modified>
</cp:coreProperties>
</file>