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9 SD Promotions\Sales team\"/>
    </mc:Choice>
  </mc:AlternateContent>
  <xr:revisionPtr revIDLastSave="0" documentId="13_ncr:1_{D577FCF0-ED16-438A-9550-974D13F8430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today" sheetId="9" r:id="rId1"/>
    <sheet name="FINAL SURVEY" sheetId="8" r:id="rId2"/>
    <sheet name="TOTAL CLOSEOUT" sheetId="7" r:id="rId3"/>
  </sheets>
  <definedNames>
    <definedName name="_xlnm._FilterDatabase" localSheetId="0" hidden="1">'AS of today'!$A$1:$J$49</definedName>
    <definedName name="_xlnm._FilterDatabase" localSheetId="1" hidden="1">'FINAL SURVEY'!$A$1:$J$49</definedName>
    <definedName name="_xlnm._FilterDatabase" localSheetId="2" hidden="1">'TOTAL CLOSEOUT'!$A$1:$J$49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" i="9" l="1"/>
  <c r="M48" i="9"/>
  <c r="M47" i="9"/>
  <c r="M46" i="9"/>
  <c r="M45" i="9"/>
  <c r="M44" i="9"/>
  <c r="M42" i="9"/>
  <c r="M41" i="9"/>
  <c r="M39" i="9"/>
  <c r="M35" i="9"/>
  <c r="M34" i="9"/>
  <c r="M32" i="9"/>
  <c r="M31" i="9"/>
  <c r="M27" i="9"/>
  <c r="M26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L49" i="9"/>
  <c r="L48" i="9"/>
  <c r="L47" i="9"/>
  <c r="L46" i="9"/>
  <c r="L45" i="9"/>
  <c r="L44" i="9"/>
  <c r="L43" i="9"/>
  <c r="M43" i="9" s="1"/>
  <c r="L42" i="9"/>
  <c r="L41" i="9"/>
  <c r="L40" i="9"/>
  <c r="M40" i="9" s="1"/>
  <c r="L39" i="9"/>
  <c r="L35" i="9"/>
  <c r="L34" i="9"/>
  <c r="L33" i="9"/>
  <c r="M33" i="9" s="1"/>
  <c r="L32" i="9"/>
  <c r="L31" i="9"/>
  <c r="L30" i="9"/>
  <c r="M30" i="9" s="1"/>
  <c r="L27" i="9"/>
  <c r="L26" i="9"/>
  <c r="L24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J49" i="9"/>
  <c r="K49" i="9" s="1"/>
  <c r="G49" i="9"/>
  <c r="J48" i="9"/>
  <c r="K48" i="9" s="1"/>
  <c r="G48" i="9"/>
  <c r="J47" i="9"/>
  <c r="K47" i="9" s="1"/>
  <c r="G47" i="9"/>
  <c r="J46" i="9"/>
  <c r="K46" i="9" s="1"/>
  <c r="G46" i="9"/>
  <c r="J45" i="9"/>
  <c r="K45" i="9" s="1"/>
  <c r="G45" i="9"/>
  <c r="J44" i="9"/>
  <c r="K44" i="9" s="1"/>
  <c r="G44" i="9"/>
  <c r="J43" i="9"/>
  <c r="K43" i="9" s="1"/>
  <c r="G43" i="9"/>
  <c r="J42" i="9"/>
  <c r="K42" i="9" s="1"/>
  <c r="G42" i="9"/>
  <c r="J41" i="9"/>
  <c r="K41" i="9" s="1"/>
  <c r="G41" i="9"/>
  <c r="J40" i="9"/>
  <c r="K40" i="9" s="1"/>
  <c r="G40" i="9"/>
  <c r="J39" i="9"/>
  <c r="K39" i="9" s="1"/>
  <c r="G39" i="9"/>
  <c r="J36" i="9"/>
  <c r="K36" i="9" s="1"/>
  <c r="G36" i="9"/>
  <c r="J35" i="9"/>
  <c r="K35" i="9" s="1"/>
  <c r="G35" i="9"/>
  <c r="J34" i="9"/>
  <c r="K34" i="9" s="1"/>
  <c r="G34" i="9"/>
  <c r="J33" i="9"/>
  <c r="K33" i="9" s="1"/>
  <c r="G33" i="9"/>
  <c r="J32" i="9"/>
  <c r="K32" i="9" s="1"/>
  <c r="G32" i="9"/>
  <c r="J31" i="9"/>
  <c r="K31" i="9" s="1"/>
  <c r="G31" i="9"/>
  <c r="J30" i="9"/>
  <c r="K30" i="9" s="1"/>
  <c r="G30" i="9"/>
  <c r="J29" i="9"/>
  <c r="K29" i="9" s="1"/>
  <c r="G29" i="9"/>
  <c r="J28" i="9"/>
  <c r="K28" i="9" s="1"/>
  <c r="G28" i="9"/>
  <c r="J27" i="9"/>
  <c r="K27" i="9" s="1"/>
  <c r="G27" i="9"/>
  <c r="J26" i="9"/>
  <c r="K26" i="9" s="1"/>
  <c r="G26" i="9"/>
  <c r="J24" i="9"/>
  <c r="K24" i="9" s="1"/>
  <c r="G24" i="9"/>
  <c r="J22" i="9"/>
  <c r="K22" i="9" s="1"/>
  <c r="G22" i="9"/>
  <c r="J21" i="9"/>
  <c r="K21" i="9" s="1"/>
  <c r="G21" i="9"/>
  <c r="J20" i="9"/>
  <c r="K20" i="9" s="1"/>
  <c r="G20" i="9"/>
  <c r="J19" i="9"/>
  <c r="K19" i="9" s="1"/>
  <c r="G19" i="9"/>
  <c r="J18" i="9"/>
  <c r="K18" i="9" s="1"/>
  <c r="G18" i="9"/>
  <c r="J17" i="9"/>
  <c r="K17" i="9" s="1"/>
  <c r="G17" i="9"/>
  <c r="J16" i="9"/>
  <c r="K16" i="9" s="1"/>
  <c r="G16" i="9"/>
  <c r="J15" i="9"/>
  <c r="K15" i="9" s="1"/>
  <c r="G15" i="9"/>
  <c r="J14" i="9"/>
  <c r="K14" i="9" s="1"/>
  <c r="G14" i="9"/>
  <c r="J13" i="9"/>
  <c r="K13" i="9" s="1"/>
  <c r="G13" i="9"/>
  <c r="J12" i="9"/>
  <c r="K12" i="9" s="1"/>
  <c r="G12" i="9"/>
  <c r="J11" i="9"/>
  <c r="K11" i="9" s="1"/>
  <c r="G11" i="9"/>
  <c r="J10" i="9"/>
  <c r="K10" i="9" s="1"/>
  <c r="G10" i="9"/>
  <c r="J9" i="9"/>
  <c r="K9" i="9" s="1"/>
  <c r="G9" i="9"/>
  <c r="J8" i="9"/>
  <c r="K8" i="9" s="1"/>
  <c r="G8" i="9"/>
  <c r="J7" i="9"/>
  <c r="K7" i="9" s="1"/>
  <c r="G7" i="9"/>
  <c r="J6" i="9"/>
  <c r="K6" i="9" s="1"/>
  <c r="G6" i="9"/>
  <c r="J5" i="9"/>
  <c r="K5" i="9" s="1"/>
  <c r="G5" i="9"/>
  <c r="J4" i="9"/>
  <c r="K4" i="9" s="1"/>
  <c r="G4" i="9"/>
  <c r="J3" i="9"/>
  <c r="K3" i="9" s="1"/>
  <c r="G3" i="9"/>
  <c r="J49" i="8"/>
  <c r="K49" i="8" s="1"/>
  <c r="G49" i="8"/>
  <c r="K48" i="8"/>
  <c r="J48" i="8"/>
  <c r="G48" i="8"/>
  <c r="K47" i="8"/>
  <c r="J47" i="8"/>
  <c r="G47" i="8"/>
  <c r="J46" i="8"/>
  <c r="K46" i="8" s="1"/>
  <c r="G46" i="8"/>
  <c r="J45" i="8"/>
  <c r="K45" i="8" s="1"/>
  <c r="G45" i="8"/>
  <c r="K44" i="8"/>
  <c r="J44" i="8"/>
  <c r="G44" i="8"/>
  <c r="K43" i="8"/>
  <c r="J43" i="8"/>
  <c r="G43" i="8"/>
  <c r="J42" i="8"/>
  <c r="K42" i="8" s="1"/>
  <c r="G42" i="8"/>
  <c r="J41" i="8"/>
  <c r="K41" i="8" s="1"/>
  <c r="G41" i="8"/>
  <c r="K40" i="8"/>
  <c r="J40" i="8"/>
  <c r="G40" i="8"/>
  <c r="K39" i="8"/>
  <c r="J39" i="8"/>
  <c r="G39" i="8"/>
  <c r="J36" i="8"/>
  <c r="K36" i="8" s="1"/>
  <c r="G36" i="8"/>
  <c r="J35" i="8"/>
  <c r="K35" i="8" s="1"/>
  <c r="G35" i="8"/>
  <c r="K34" i="8"/>
  <c r="J34" i="8"/>
  <c r="G34" i="8"/>
  <c r="K33" i="8"/>
  <c r="J33" i="8"/>
  <c r="G33" i="8"/>
  <c r="J32" i="8"/>
  <c r="K32" i="8" s="1"/>
  <c r="G32" i="8"/>
  <c r="J31" i="8"/>
  <c r="K31" i="8" s="1"/>
  <c r="G31" i="8"/>
  <c r="J30" i="8"/>
  <c r="K30" i="8" s="1"/>
  <c r="G30" i="8"/>
  <c r="J29" i="8"/>
  <c r="K29" i="8" s="1"/>
  <c r="G29" i="8"/>
  <c r="J28" i="8"/>
  <c r="K28" i="8" s="1"/>
  <c r="G28" i="8"/>
  <c r="J27" i="8"/>
  <c r="K27" i="8" s="1"/>
  <c r="G27" i="8"/>
  <c r="K26" i="8"/>
  <c r="J26" i="8"/>
  <c r="G26" i="8"/>
  <c r="K24" i="8"/>
  <c r="J24" i="8"/>
  <c r="G24" i="8"/>
  <c r="J22" i="8"/>
  <c r="K22" i="8" s="1"/>
  <c r="G22" i="8"/>
  <c r="J21" i="8"/>
  <c r="K21" i="8" s="1"/>
  <c r="G21" i="8"/>
  <c r="J20" i="8"/>
  <c r="K20" i="8" s="1"/>
  <c r="G20" i="8"/>
  <c r="J19" i="8"/>
  <c r="K19" i="8" s="1"/>
  <c r="G19" i="8"/>
  <c r="J18" i="8"/>
  <c r="K18" i="8" s="1"/>
  <c r="G18" i="8"/>
  <c r="J17" i="8"/>
  <c r="K17" i="8" s="1"/>
  <c r="G17" i="8"/>
  <c r="J16" i="8"/>
  <c r="K16" i="8" s="1"/>
  <c r="G16" i="8"/>
  <c r="K15" i="8"/>
  <c r="J15" i="8"/>
  <c r="G15" i="8"/>
  <c r="J14" i="8"/>
  <c r="K14" i="8" s="1"/>
  <c r="G14" i="8"/>
  <c r="J13" i="8"/>
  <c r="K13" i="8" s="1"/>
  <c r="G13" i="8"/>
  <c r="J12" i="8"/>
  <c r="K12" i="8" s="1"/>
  <c r="G12" i="8"/>
  <c r="J11" i="8"/>
  <c r="K11" i="8" s="1"/>
  <c r="G11" i="8"/>
  <c r="J10" i="8"/>
  <c r="K10" i="8" s="1"/>
  <c r="G10" i="8"/>
  <c r="J9" i="8"/>
  <c r="K9" i="8" s="1"/>
  <c r="G9" i="8"/>
  <c r="K8" i="8"/>
  <c r="J8" i="8"/>
  <c r="G8" i="8"/>
  <c r="K7" i="8"/>
  <c r="J7" i="8"/>
  <c r="G7" i="8"/>
  <c r="J6" i="8"/>
  <c r="K6" i="8" s="1"/>
  <c r="G6" i="8"/>
  <c r="J5" i="8"/>
  <c r="K5" i="8" s="1"/>
  <c r="G5" i="8"/>
  <c r="K4" i="8"/>
  <c r="J4" i="8"/>
  <c r="G4" i="8"/>
  <c r="J3" i="8"/>
  <c r="K3" i="8" s="1"/>
  <c r="G3" i="8"/>
  <c r="J49" i="7"/>
  <c r="K49" i="7" s="1"/>
  <c r="G49" i="7"/>
  <c r="J48" i="7"/>
  <c r="K48" i="7" s="1"/>
  <c r="G48" i="7"/>
  <c r="J47" i="7"/>
  <c r="K47" i="7" s="1"/>
  <c r="G47" i="7"/>
  <c r="J46" i="7"/>
  <c r="K46" i="7" s="1"/>
  <c r="G46" i="7"/>
  <c r="J45" i="7"/>
  <c r="K45" i="7" s="1"/>
  <c r="G45" i="7"/>
  <c r="J44" i="7"/>
  <c r="K44" i="7" s="1"/>
  <c r="G44" i="7"/>
  <c r="J43" i="7"/>
  <c r="K43" i="7" s="1"/>
  <c r="G43" i="7"/>
  <c r="J42" i="7"/>
  <c r="K42" i="7" s="1"/>
  <c r="G42" i="7"/>
  <c r="J41" i="7"/>
  <c r="K41" i="7" s="1"/>
  <c r="G41" i="7"/>
  <c r="J40" i="7"/>
  <c r="K40" i="7" s="1"/>
  <c r="G40" i="7"/>
  <c r="J39" i="7"/>
  <c r="K39" i="7" s="1"/>
  <c r="G39" i="7"/>
  <c r="J36" i="7"/>
  <c r="K36" i="7" s="1"/>
  <c r="G36" i="7"/>
  <c r="J35" i="7"/>
  <c r="K35" i="7" s="1"/>
  <c r="G35" i="7"/>
  <c r="J34" i="7"/>
  <c r="K34" i="7" s="1"/>
  <c r="G34" i="7"/>
  <c r="J33" i="7"/>
  <c r="K33" i="7" s="1"/>
  <c r="G33" i="7"/>
  <c r="J32" i="7"/>
  <c r="K32" i="7" s="1"/>
  <c r="G32" i="7"/>
  <c r="J31" i="7"/>
  <c r="K31" i="7" s="1"/>
  <c r="G31" i="7"/>
  <c r="J30" i="7"/>
  <c r="K30" i="7" s="1"/>
  <c r="G30" i="7"/>
  <c r="J29" i="7"/>
  <c r="K29" i="7" s="1"/>
  <c r="G29" i="7"/>
  <c r="J28" i="7"/>
  <c r="K28" i="7" s="1"/>
  <c r="G28" i="7"/>
  <c r="J27" i="7"/>
  <c r="K27" i="7" s="1"/>
  <c r="G27" i="7"/>
  <c r="J26" i="7"/>
  <c r="K26" i="7" s="1"/>
  <c r="G26" i="7"/>
  <c r="J24" i="7"/>
  <c r="K24" i="7" s="1"/>
  <c r="G24" i="7"/>
  <c r="J22" i="7"/>
  <c r="K22" i="7" s="1"/>
  <c r="G22" i="7"/>
  <c r="J21" i="7"/>
  <c r="K21" i="7" s="1"/>
  <c r="G21" i="7"/>
  <c r="J20" i="7"/>
  <c r="K20" i="7" s="1"/>
  <c r="G20" i="7"/>
  <c r="J19" i="7"/>
  <c r="K19" i="7" s="1"/>
  <c r="G19" i="7"/>
  <c r="J18" i="7"/>
  <c r="K18" i="7" s="1"/>
  <c r="G18" i="7"/>
  <c r="J17" i="7"/>
  <c r="K17" i="7" s="1"/>
  <c r="G17" i="7"/>
  <c r="J16" i="7"/>
  <c r="K16" i="7" s="1"/>
  <c r="G16" i="7"/>
  <c r="J15" i="7"/>
  <c r="K15" i="7" s="1"/>
  <c r="G15" i="7"/>
  <c r="J14" i="7"/>
  <c r="K14" i="7" s="1"/>
  <c r="G14" i="7"/>
  <c r="J13" i="7"/>
  <c r="K13" i="7" s="1"/>
  <c r="G13" i="7"/>
  <c r="J12" i="7"/>
  <c r="K12" i="7" s="1"/>
  <c r="G12" i="7"/>
  <c r="J11" i="7"/>
  <c r="K11" i="7" s="1"/>
  <c r="G11" i="7"/>
  <c r="J10" i="7"/>
  <c r="K10" i="7" s="1"/>
  <c r="G10" i="7"/>
  <c r="J9" i="7"/>
  <c r="K9" i="7" s="1"/>
  <c r="G9" i="7"/>
  <c r="J8" i="7"/>
  <c r="K8" i="7" s="1"/>
  <c r="G8" i="7"/>
  <c r="J7" i="7"/>
  <c r="K7" i="7" s="1"/>
  <c r="G7" i="7"/>
  <c r="J6" i="7"/>
  <c r="K6" i="7" s="1"/>
  <c r="G6" i="7"/>
  <c r="J5" i="7"/>
  <c r="K5" i="7" s="1"/>
  <c r="G5" i="7"/>
  <c r="J4" i="7"/>
  <c r="K4" i="7" s="1"/>
  <c r="G4" i="7"/>
  <c r="J3" i="7"/>
  <c r="K3" i="7" s="1"/>
  <c r="G3" i="7"/>
  <c r="M24" i="9" l="1"/>
  <c r="L36" i="9"/>
  <c r="M36" i="9" s="1"/>
  <c r="L29" i="9"/>
  <c r="M29" i="9" s="1"/>
  <c r="L28" i="9"/>
  <c r="M28" i="9" s="1"/>
</calcChain>
</file>

<file path=xl/sharedStrings.xml><?xml version="1.0" encoding="utf-8"?>
<sst xmlns="http://schemas.openxmlformats.org/spreadsheetml/2006/main" count="551" uniqueCount="66">
  <si>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</si>
  <si>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</si>
  <si>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</si>
  <si>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</si>
  <si>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</si>
  <si>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</si>
  <si>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</si>
  <si>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</si>
  <si>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</si>
  <si>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</si>
  <si>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</si>
  <si>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A0S3A0A250000710</t>
  </si>
  <si>
    <t>VITEL W27-W29 ECO ST Promo</t>
  </si>
  <si>
    <t>SM-X520NLBATPA</t>
  </si>
  <si>
    <t>TABLET,SM-X520,LIGHT BLUE,TPA</t>
  </si>
  <si>
    <t>SM-X520NLBETPA</t>
  </si>
  <si>
    <t>SM-X520NZAATPA</t>
  </si>
  <si>
    <t>TABLET,SM-X520,GRAY,TPA</t>
  </si>
  <si>
    <t>SM-X520NZAETPA</t>
  </si>
  <si>
    <t>SM-X520NZSATPA</t>
  </si>
  <si>
    <t>TABLET,SM-X520,SILVER,TPA</t>
  </si>
  <si>
    <t>SM-X520NZSETPA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</si>
  <si>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</si>
  <si>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</si>
  <si>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</si>
  <si>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</si>
  <si>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</si>
  <si>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</si>
  <si>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</si>
  <si>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</si>
  <si>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SM-X620NLBETPA</t>
  </si>
  <si>
    <t>SM-X620NZAATPA</t>
  </si>
  <si>
    <t>TABLET,SM-X620,GRAY,TPA</t>
  </si>
  <si>
    <t>SM-X620NZAETPA</t>
  </si>
  <si>
    <t>SM-X620NZSATPA</t>
  </si>
  <si>
    <t>TABLET,SM-X620,SILVER,TPA</t>
  </si>
  <si>
    <t>SM-X620NZSETPA</t>
  </si>
  <si>
    <t>SM-X626BZAATPA</t>
  </si>
  <si>
    <t>TABLET,SM-X626B,GRAY,TPA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</si>
  <si>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</si>
  <si>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</si>
  <si>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</si>
  <si>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</si>
  <si>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</si>
  <si>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</si>
  <si>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</si>
  <si>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</si>
  <si>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A0S3A0A250000703</t>
  </si>
  <si>
    <t>VITEL W27-W29 OM</t>
  </si>
  <si>
    <t>G-A26-5G</t>
  </si>
  <si>
    <t>A0S3A0A250000693</t>
  </si>
  <si>
    <t>VITEL W27-W29 NRM Sell-Thru Promotion</t>
  </si>
  <si>
    <t>G-A06</t>
  </si>
  <si>
    <t>G-A16</t>
  </si>
  <si>
    <t>G-A16-5G</t>
  </si>
  <si>
    <t>G-A36-5G</t>
  </si>
  <si>
    <t>G-A56-5G</t>
  </si>
  <si>
    <t>G-S24</t>
  </si>
  <si>
    <t>G-S24+</t>
  </si>
  <si>
    <t>G-S24-ULTRA</t>
  </si>
  <si>
    <t>G-S25</t>
  </si>
  <si>
    <t>G-S25+</t>
  </si>
  <si>
    <t>G-S25-ULTRA</t>
  </si>
  <si>
    <t>A0S3A0A250000696</t>
  </si>
  <si>
    <t>VITEL W27 -W29 MX Sell-Thru Promotion</t>
  </si>
  <si>
    <t>Amount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</si>
</sst>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6" fontId="0" fillId="0" borderId="0" xfId="0" applyNumberFormat="1"/>
    <xf numFmtId="44" fontId="0" fillId="4" borderId="1" xfId="1" applyFont="1" applyFill="1" applyBorder="1"/>
    <xf numFmtId="6" fontId="0" fillId="5" borderId="0" xfId="0" applyNumberFormat="1" applyFill="1"/>
    <xf numFmtId="0" fontId="0" fillId="6" borderId="1" xfId="0" applyFill="1" applyBorder="1"/>
    <xf numFmtId="8" fontId="0" fillId="6" borderId="1" xfId="0" applyNumberFormat="1" applyFill="1" applyBorder="1"/>
    <xf numFmtId="3" fontId="0" fillId="6" borderId="1" xfId="0" applyNumberFormat="1" applyFill="1" applyBorder="1"/>
    <xf numFmtId="44" fontId="0" fillId="6" borderId="1" xfId="1" applyFont="1" applyFill="1" applyBorder="1"/>
    <xf numFmtId="1" fontId="0" fillId="6" borderId="1" xfId="0" applyNumberFormat="1" applyFill="1" applyBorder="1"/>
    <xf numFmtId="8" fontId="0" fillId="7" borderId="0" xfId="0" applyNumberFormat="1" applyFill="1"/>
    <xf numFmtId="0" fontId="0" fillId="8" borderId="1" xfId="0" applyFill="1" applyBorder="1"/>
    <xf numFmtId="8" fontId="0" fillId="8" borderId="1" xfId="0" applyNumberFormat="1" applyFill="1" applyBorder="1"/>
    <xf numFmtId="3" fontId="0" fillId="8" borderId="1" xfId="0" applyNumberFormat="1" applyFill="1" applyBorder="1"/>
    <xf numFmtId="44" fontId="0" fillId="8" borderId="1" xfId="1" applyFont="1" applyFill="1" applyBorder="1"/>
    <xf numFmtId="1" fontId="0" fillId="8" borderId="1" xfId="0" applyNumberFormat="1" applyFill="1" applyBorder="1"/>
    <xf numFmtId="8" fontId="0" fillId="8" borderId="0" xfId="0" applyNumberFormat="1" applyFill="1"/>
    <xf numFmtId="6" fontId="0" fillId="9" borderId="0" xfId="0" applyNumberFormat="1" applyFill="1"/>
    <xf numFmtId="44" fontId="0" fillId="0" borderId="0" xfId="0" applyNumberFormat="1"/>
    <xf numFmtId="44" fontId="0" fillId="3" borderId="1" xfId="1" applyFont="1" applyFill="1" applyBorder="1"/>
  </cellXfs>
  <cellStyles count="2">
    <cellStyle name="Currency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1FE4-31E3-484D-A9C8-A3E80A7ABAED}">
  <dimension ref="A1:M49"/>
  <sheetViews>
    <sheetView showGridLines="0" tabSelected="1" topLeftCell="B1" zoomScaleNormal="100" workbookViewId="0">
      <pane ySplit="1" topLeftCell="A2" activePane="bottomLeft" state="frozen"/>
      <selection pane="bottomLeft" activeCell="K23" sqref="K23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16.140625" bestFit="1" customWidth="1"/>
    <col min="4" max="4" width="33" customWidth="1"/>
    <col min="5" max="10" width="14.28515625" customWidth="1"/>
    <col min="11" max="11" width="9.140625" customWidth="1"/>
    <col min="12" max="12" width="12" bestFit="1" customWidth="1"/>
    <col min="13" max="13" width="16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65</v>
      </c>
    </row>
    <row r="2" spans="1:13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2" t="s">
        <v>11</v>
      </c>
      <c r="B3" s="2" t="s">
        <v>12</v>
      </c>
      <c r="C3" s="2" t="s">
        <v>13</v>
      </c>
      <c r="D3" s="2" t="s">
        <v>14</v>
      </c>
      <c r="E3" s="3">
        <v>30</v>
      </c>
      <c r="F3" s="4">
        <v>333</v>
      </c>
      <c r="G3" s="8">
        <f t="shared" ref="G3:G22" si="0">E3*F3</f>
        <v>9990</v>
      </c>
      <c r="H3" s="5">
        <v>190</v>
      </c>
      <c r="I3" s="5">
        <v>65</v>
      </c>
      <c r="J3" s="6">
        <f>H3+I3</f>
        <v>255</v>
      </c>
      <c r="K3" s="6">
        <f t="shared" ref="K3:K22" si="1">F3-J3</f>
        <v>78</v>
      </c>
      <c r="L3" s="24">
        <f>J3*E3</f>
        <v>7650</v>
      </c>
      <c r="M3" s="24">
        <f>G3-L3</f>
        <v>2340</v>
      </c>
    </row>
    <row r="4" spans="1:13" x14ac:dyDescent="0.2">
      <c r="A4" s="2" t="s">
        <v>11</v>
      </c>
      <c r="B4" s="2" t="s">
        <v>12</v>
      </c>
      <c r="C4" s="2" t="s">
        <v>15</v>
      </c>
      <c r="D4" s="2" t="s">
        <v>14</v>
      </c>
      <c r="E4" s="3">
        <v>30</v>
      </c>
      <c r="F4" s="4">
        <v>1</v>
      </c>
      <c r="G4" s="8">
        <f t="shared" si="0"/>
        <v>30</v>
      </c>
      <c r="H4" s="5">
        <v>0</v>
      </c>
      <c r="I4" s="5"/>
      <c r="J4" s="6">
        <f t="shared" ref="J4:J49" si="2">H4+I4</f>
        <v>0</v>
      </c>
      <c r="K4" s="6">
        <f t="shared" si="1"/>
        <v>1</v>
      </c>
      <c r="L4" s="24">
        <f t="shared" ref="L4:L49" si="3">J4*E4</f>
        <v>0</v>
      </c>
      <c r="M4" s="24">
        <f t="shared" ref="M4:M49" si="4">G4-L4</f>
        <v>30</v>
      </c>
    </row>
    <row r="5" spans="1:13" x14ac:dyDescent="0.2">
      <c r="A5" s="2" t="s">
        <v>11</v>
      </c>
      <c r="B5" s="2" t="s">
        <v>12</v>
      </c>
      <c r="C5" s="2" t="s">
        <v>16</v>
      </c>
      <c r="D5" s="2" t="s">
        <v>17</v>
      </c>
      <c r="E5" s="3">
        <v>30</v>
      </c>
      <c r="F5" s="4">
        <v>194</v>
      </c>
      <c r="G5" s="8">
        <f t="shared" si="0"/>
        <v>5820</v>
      </c>
      <c r="H5" s="5">
        <v>79</v>
      </c>
      <c r="I5" s="5">
        <v>100</v>
      </c>
      <c r="J5" s="6">
        <f t="shared" si="2"/>
        <v>179</v>
      </c>
      <c r="K5" s="6">
        <f t="shared" si="1"/>
        <v>15</v>
      </c>
      <c r="L5" s="24">
        <f t="shared" si="3"/>
        <v>5370</v>
      </c>
      <c r="M5" s="24">
        <f t="shared" si="4"/>
        <v>450</v>
      </c>
    </row>
    <row r="6" spans="1:13" x14ac:dyDescent="0.2">
      <c r="A6" s="2" t="s">
        <v>11</v>
      </c>
      <c r="B6" s="2" t="s">
        <v>12</v>
      </c>
      <c r="C6" s="2" t="s">
        <v>18</v>
      </c>
      <c r="D6" s="2" t="s">
        <v>17</v>
      </c>
      <c r="E6" s="3">
        <v>30</v>
      </c>
      <c r="F6" s="4">
        <v>1</v>
      </c>
      <c r="G6" s="8">
        <f t="shared" si="0"/>
        <v>30</v>
      </c>
      <c r="H6" s="5">
        <v>0</v>
      </c>
      <c r="I6" s="5"/>
      <c r="J6" s="6">
        <f t="shared" si="2"/>
        <v>0</v>
      </c>
      <c r="K6" s="6">
        <f t="shared" si="1"/>
        <v>1</v>
      </c>
      <c r="L6" s="24">
        <f t="shared" si="3"/>
        <v>0</v>
      </c>
      <c r="M6" s="24">
        <f t="shared" si="4"/>
        <v>30</v>
      </c>
    </row>
    <row r="7" spans="1:13" x14ac:dyDescent="0.2">
      <c r="A7" s="2" t="s">
        <v>11</v>
      </c>
      <c r="B7" s="2" t="s">
        <v>12</v>
      </c>
      <c r="C7" s="2" t="s">
        <v>19</v>
      </c>
      <c r="D7" s="2" t="s">
        <v>20</v>
      </c>
      <c r="E7" s="3">
        <v>30</v>
      </c>
      <c r="F7" s="4">
        <v>226</v>
      </c>
      <c r="G7" s="8">
        <f t="shared" si="0"/>
        <v>6780</v>
      </c>
      <c r="H7" s="5">
        <v>256</v>
      </c>
      <c r="I7" s="5">
        <v>62</v>
      </c>
      <c r="J7" s="6">
        <f t="shared" si="2"/>
        <v>318</v>
      </c>
      <c r="K7" s="6">
        <f t="shared" si="1"/>
        <v>-92</v>
      </c>
      <c r="L7" s="24">
        <f t="shared" si="3"/>
        <v>9540</v>
      </c>
      <c r="M7" s="24">
        <f t="shared" si="4"/>
        <v>-2760</v>
      </c>
    </row>
    <row r="8" spans="1:13" x14ac:dyDescent="0.2">
      <c r="A8" s="2" t="s">
        <v>11</v>
      </c>
      <c r="B8" s="2" t="s">
        <v>12</v>
      </c>
      <c r="C8" s="2" t="s">
        <v>21</v>
      </c>
      <c r="D8" s="2" t="s">
        <v>20</v>
      </c>
      <c r="E8" s="3">
        <v>30</v>
      </c>
      <c r="F8" s="4">
        <v>1</v>
      </c>
      <c r="G8" s="8">
        <f t="shared" si="0"/>
        <v>30</v>
      </c>
      <c r="H8" s="5">
        <v>0</v>
      </c>
      <c r="I8" s="5"/>
      <c r="J8" s="6">
        <f t="shared" si="2"/>
        <v>0</v>
      </c>
      <c r="K8" s="6">
        <f t="shared" si="1"/>
        <v>1</v>
      </c>
      <c r="L8" s="24">
        <f t="shared" si="3"/>
        <v>0</v>
      </c>
      <c r="M8" s="24">
        <f t="shared" si="4"/>
        <v>30</v>
      </c>
    </row>
    <row r="9" spans="1:13" x14ac:dyDescent="0.2">
      <c r="A9" s="2" t="s">
        <v>11</v>
      </c>
      <c r="B9" s="2" t="s">
        <v>12</v>
      </c>
      <c r="C9" s="2" t="s">
        <v>22</v>
      </c>
      <c r="D9" s="2" t="s">
        <v>23</v>
      </c>
      <c r="E9" s="3">
        <v>30</v>
      </c>
      <c r="F9" s="4">
        <v>121</v>
      </c>
      <c r="G9" s="8">
        <f t="shared" si="0"/>
        <v>3630</v>
      </c>
      <c r="H9" s="5">
        <v>54</v>
      </c>
      <c r="I9" s="5">
        <v>3</v>
      </c>
      <c r="J9" s="6">
        <f t="shared" si="2"/>
        <v>57</v>
      </c>
      <c r="K9" s="6">
        <f t="shared" si="1"/>
        <v>64</v>
      </c>
      <c r="L9" s="24">
        <f t="shared" si="3"/>
        <v>1710</v>
      </c>
      <c r="M9" s="24">
        <f t="shared" si="4"/>
        <v>1920</v>
      </c>
    </row>
    <row r="10" spans="1:13" x14ac:dyDescent="0.2">
      <c r="A10" s="2" t="s">
        <v>11</v>
      </c>
      <c r="B10" s="2" t="s">
        <v>12</v>
      </c>
      <c r="C10" s="2" t="s">
        <v>24</v>
      </c>
      <c r="D10" s="2" t="s">
        <v>25</v>
      </c>
      <c r="E10" s="3">
        <v>30</v>
      </c>
      <c r="F10" s="4">
        <v>95</v>
      </c>
      <c r="G10" s="8">
        <f t="shared" si="0"/>
        <v>2850</v>
      </c>
      <c r="H10" s="5">
        <v>96</v>
      </c>
      <c r="I10" s="5">
        <v>30</v>
      </c>
      <c r="J10" s="6">
        <f t="shared" si="2"/>
        <v>126</v>
      </c>
      <c r="K10" s="6">
        <f t="shared" si="1"/>
        <v>-31</v>
      </c>
      <c r="L10" s="24">
        <f t="shared" si="3"/>
        <v>3780</v>
      </c>
      <c r="M10" s="24">
        <f t="shared" si="4"/>
        <v>-930</v>
      </c>
    </row>
    <row r="11" spans="1:13" x14ac:dyDescent="0.2">
      <c r="A11" s="2" t="s">
        <v>11</v>
      </c>
      <c r="B11" s="2" t="s">
        <v>12</v>
      </c>
      <c r="C11" s="2" t="s">
        <v>26</v>
      </c>
      <c r="D11" s="2" t="s">
        <v>27</v>
      </c>
      <c r="E11" s="3">
        <v>30</v>
      </c>
      <c r="F11" s="4">
        <v>181</v>
      </c>
      <c r="G11" s="8">
        <f t="shared" si="0"/>
        <v>5430</v>
      </c>
      <c r="H11" s="5">
        <v>95</v>
      </c>
      <c r="I11" s="5"/>
      <c r="J11" s="6">
        <f t="shared" si="2"/>
        <v>95</v>
      </c>
      <c r="K11" s="6">
        <f t="shared" si="1"/>
        <v>86</v>
      </c>
      <c r="L11" s="24">
        <f t="shared" si="3"/>
        <v>2850</v>
      </c>
      <c r="M11" s="24">
        <f t="shared" si="4"/>
        <v>2580</v>
      </c>
    </row>
    <row r="12" spans="1:13" x14ac:dyDescent="0.2">
      <c r="A12" s="2" t="s">
        <v>11</v>
      </c>
      <c r="B12" s="2" t="s">
        <v>12</v>
      </c>
      <c r="C12" s="2" t="s">
        <v>28</v>
      </c>
      <c r="D12" s="2" t="s">
        <v>29</v>
      </c>
      <c r="E12" s="3">
        <v>30</v>
      </c>
      <c r="F12" s="4">
        <v>96</v>
      </c>
      <c r="G12" s="8">
        <f t="shared" si="0"/>
        <v>2880</v>
      </c>
      <c r="H12" s="5">
        <v>38</v>
      </c>
      <c r="I12" s="5">
        <v>45</v>
      </c>
      <c r="J12" s="6">
        <f t="shared" si="2"/>
        <v>83</v>
      </c>
      <c r="K12" s="6">
        <f t="shared" si="1"/>
        <v>13</v>
      </c>
      <c r="L12" s="24">
        <f t="shared" si="3"/>
        <v>2490</v>
      </c>
      <c r="M12" s="24">
        <f t="shared" si="4"/>
        <v>390</v>
      </c>
    </row>
    <row r="13" spans="1:13" x14ac:dyDescent="0.2">
      <c r="A13" s="2" t="s">
        <v>11</v>
      </c>
      <c r="B13" s="2" t="s">
        <v>12</v>
      </c>
      <c r="C13" s="2" t="s">
        <v>30</v>
      </c>
      <c r="D13" s="2" t="s">
        <v>29</v>
      </c>
      <c r="E13" s="3">
        <v>30</v>
      </c>
      <c r="F13" s="4">
        <v>1</v>
      </c>
      <c r="G13" s="8">
        <f t="shared" si="0"/>
        <v>30</v>
      </c>
      <c r="H13" s="5">
        <v>0</v>
      </c>
      <c r="I13" s="5"/>
      <c r="J13" s="6">
        <f t="shared" si="2"/>
        <v>0</v>
      </c>
      <c r="K13" s="6">
        <f t="shared" si="1"/>
        <v>1</v>
      </c>
      <c r="L13" s="24">
        <f t="shared" si="3"/>
        <v>0</v>
      </c>
      <c r="M13" s="24">
        <f t="shared" si="4"/>
        <v>30</v>
      </c>
    </row>
    <row r="14" spans="1:13" x14ac:dyDescent="0.2">
      <c r="A14" s="2" t="s">
        <v>11</v>
      </c>
      <c r="B14" s="2" t="s">
        <v>12</v>
      </c>
      <c r="C14" s="2" t="s">
        <v>31</v>
      </c>
      <c r="D14" s="2" t="s">
        <v>32</v>
      </c>
      <c r="E14" s="3">
        <v>30</v>
      </c>
      <c r="F14" s="4">
        <v>108</v>
      </c>
      <c r="G14" s="8">
        <f t="shared" si="0"/>
        <v>3240</v>
      </c>
      <c r="H14" s="5">
        <v>51</v>
      </c>
      <c r="I14" s="5">
        <v>57</v>
      </c>
      <c r="J14" s="6">
        <f t="shared" si="2"/>
        <v>108</v>
      </c>
      <c r="K14" s="6">
        <f t="shared" si="1"/>
        <v>0</v>
      </c>
      <c r="L14" s="24">
        <f t="shared" si="3"/>
        <v>3240</v>
      </c>
      <c r="M14" s="24">
        <f t="shared" si="4"/>
        <v>0</v>
      </c>
    </row>
    <row r="15" spans="1:13" x14ac:dyDescent="0.2">
      <c r="A15" s="2" t="s">
        <v>11</v>
      </c>
      <c r="B15" s="2" t="s">
        <v>12</v>
      </c>
      <c r="C15" s="2" t="s">
        <v>33</v>
      </c>
      <c r="D15" s="2" t="s">
        <v>32</v>
      </c>
      <c r="E15" s="3">
        <v>30</v>
      </c>
      <c r="F15" s="4">
        <v>1</v>
      </c>
      <c r="G15" s="8">
        <f t="shared" si="0"/>
        <v>30</v>
      </c>
      <c r="H15" s="5">
        <v>0</v>
      </c>
      <c r="I15" s="5"/>
      <c r="J15" s="6">
        <f t="shared" si="2"/>
        <v>0</v>
      </c>
      <c r="K15" s="6">
        <f t="shared" si="1"/>
        <v>1</v>
      </c>
      <c r="L15" s="24">
        <f t="shared" si="3"/>
        <v>0</v>
      </c>
      <c r="M15" s="24">
        <f t="shared" si="4"/>
        <v>30</v>
      </c>
    </row>
    <row r="16" spans="1:13" x14ac:dyDescent="0.2">
      <c r="A16" s="2" t="s">
        <v>11</v>
      </c>
      <c r="B16" s="2" t="s">
        <v>12</v>
      </c>
      <c r="C16" s="2" t="s">
        <v>34</v>
      </c>
      <c r="D16" s="2" t="s">
        <v>35</v>
      </c>
      <c r="E16" s="3">
        <v>30</v>
      </c>
      <c r="F16" s="4">
        <v>136</v>
      </c>
      <c r="G16" s="8">
        <f t="shared" si="0"/>
        <v>4080</v>
      </c>
      <c r="H16" s="5">
        <v>38</v>
      </c>
      <c r="I16" s="5">
        <v>32</v>
      </c>
      <c r="J16" s="6">
        <f t="shared" si="2"/>
        <v>70</v>
      </c>
      <c r="K16" s="6">
        <f t="shared" si="1"/>
        <v>66</v>
      </c>
      <c r="L16" s="24">
        <f t="shared" si="3"/>
        <v>2100</v>
      </c>
      <c r="M16" s="24">
        <f t="shared" si="4"/>
        <v>1980</v>
      </c>
    </row>
    <row r="17" spans="1:13" x14ac:dyDescent="0.2">
      <c r="A17" s="2" t="s">
        <v>11</v>
      </c>
      <c r="B17" s="2" t="s">
        <v>12</v>
      </c>
      <c r="C17" s="2" t="s">
        <v>36</v>
      </c>
      <c r="D17" s="2" t="s">
        <v>35</v>
      </c>
      <c r="E17" s="3">
        <v>30</v>
      </c>
      <c r="F17" s="4">
        <v>1</v>
      </c>
      <c r="G17" s="8">
        <f t="shared" si="0"/>
        <v>30</v>
      </c>
      <c r="H17" s="5">
        <v>0</v>
      </c>
      <c r="I17" s="5"/>
      <c r="J17" s="6">
        <f t="shared" si="2"/>
        <v>0</v>
      </c>
      <c r="K17" s="6">
        <f t="shared" si="1"/>
        <v>1</v>
      </c>
      <c r="L17" s="24">
        <f t="shared" si="3"/>
        <v>0</v>
      </c>
      <c r="M17" s="24">
        <f t="shared" si="4"/>
        <v>30</v>
      </c>
    </row>
    <row r="18" spans="1:13" x14ac:dyDescent="0.2">
      <c r="A18" s="2" t="s">
        <v>11</v>
      </c>
      <c r="B18" s="2" t="s">
        <v>12</v>
      </c>
      <c r="C18" s="2" t="s">
        <v>37</v>
      </c>
      <c r="D18" s="2" t="s">
        <v>38</v>
      </c>
      <c r="E18" s="3">
        <v>30</v>
      </c>
      <c r="F18" s="4">
        <v>54</v>
      </c>
      <c r="G18" s="8">
        <f t="shared" si="0"/>
        <v>1620</v>
      </c>
      <c r="H18" s="5">
        <v>78</v>
      </c>
      <c r="I18" s="5"/>
      <c r="J18" s="6">
        <f t="shared" si="2"/>
        <v>78</v>
      </c>
      <c r="K18" s="6">
        <f t="shared" si="1"/>
        <v>-24</v>
      </c>
      <c r="L18" s="24">
        <f t="shared" si="3"/>
        <v>2340</v>
      </c>
      <c r="M18" s="24">
        <f t="shared" si="4"/>
        <v>-720</v>
      </c>
    </row>
    <row r="19" spans="1:13" x14ac:dyDescent="0.2">
      <c r="A19" s="2" t="s">
        <v>11</v>
      </c>
      <c r="B19" s="2" t="s">
        <v>12</v>
      </c>
      <c r="C19" s="2" t="s">
        <v>39</v>
      </c>
      <c r="D19" s="2" t="s">
        <v>40</v>
      </c>
      <c r="E19" s="3">
        <v>30</v>
      </c>
      <c r="F19" s="4">
        <v>210</v>
      </c>
      <c r="G19" s="8">
        <f t="shared" si="0"/>
        <v>6300</v>
      </c>
      <c r="H19" s="5">
        <v>104</v>
      </c>
      <c r="I19" s="5">
        <v>33</v>
      </c>
      <c r="J19" s="6">
        <f t="shared" si="2"/>
        <v>137</v>
      </c>
      <c r="K19" s="6">
        <f t="shared" si="1"/>
        <v>73</v>
      </c>
      <c r="L19" s="24">
        <f t="shared" si="3"/>
        <v>4110</v>
      </c>
      <c r="M19" s="24">
        <f t="shared" si="4"/>
        <v>2190</v>
      </c>
    </row>
    <row r="20" spans="1:13" x14ac:dyDescent="0.2">
      <c r="A20" s="2" t="s">
        <v>11</v>
      </c>
      <c r="B20" s="2" t="s">
        <v>12</v>
      </c>
      <c r="C20" s="2" t="s">
        <v>41</v>
      </c>
      <c r="D20" s="2" t="s">
        <v>42</v>
      </c>
      <c r="E20" s="3">
        <v>30</v>
      </c>
      <c r="F20" s="4">
        <v>286</v>
      </c>
      <c r="G20" s="8">
        <f t="shared" si="0"/>
        <v>8580</v>
      </c>
      <c r="H20" s="5">
        <v>74</v>
      </c>
      <c r="I20" s="5">
        <v>33</v>
      </c>
      <c r="J20" s="6">
        <f t="shared" si="2"/>
        <v>107</v>
      </c>
      <c r="K20" s="6">
        <f t="shared" si="1"/>
        <v>179</v>
      </c>
      <c r="L20" s="24">
        <f t="shared" si="3"/>
        <v>3210</v>
      </c>
      <c r="M20" s="24">
        <f t="shared" si="4"/>
        <v>5370</v>
      </c>
    </row>
    <row r="21" spans="1:13" x14ac:dyDescent="0.2">
      <c r="A21" s="2" t="s">
        <v>11</v>
      </c>
      <c r="B21" s="2" t="s">
        <v>12</v>
      </c>
      <c r="C21" s="2" t="s">
        <v>43</v>
      </c>
      <c r="D21" s="2" t="s">
        <v>44</v>
      </c>
      <c r="E21" s="3">
        <v>30</v>
      </c>
      <c r="F21" s="4">
        <v>205</v>
      </c>
      <c r="G21" s="8">
        <f t="shared" si="0"/>
        <v>6150</v>
      </c>
      <c r="H21" s="5">
        <v>101</v>
      </c>
      <c r="I21" s="5"/>
      <c r="J21" s="6">
        <f t="shared" si="2"/>
        <v>101</v>
      </c>
      <c r="K21" s="6">
        <f t="shared" si="1"/>
        <v>104</v>
      </c>
      <c r="L21" s="24">
        <f t="shared" si="3"/>
        <v>3030</v>
      </c>
      <c r="M21" s="24">
        <f t="shared" si="4"/>
        <v>3120</v>
      </c>
    </row>
    <row r="22" spans="1:13" x14ac:dyDescent="0.2">
      <c r="A22" s="2" t="s">
        <v>11</v>
      </c>
      <c r="B22" s="2" t="s">
        <v>12</v>
      </c>
      <c r="C22" s="2" t="s">
        <v>45</v>
      </c>
      <c r="D22" s="2" t="s">
        <v>46</v>
      </c>
      <c r="E22" s="3">
        <v>30</v>
      </c>
      <c r="F22" s="4">
        <v>207</v>
      </c>
      <c r="G22" s="8">
        <f t="shared" si="0"/>
        <v>6210</v>
      </c>
      <c r="H22" s="5">
        <v>73</v>
      </c>
      <c r="I22" s="5">
        <v>13</v>
      </c>
      <c r="J22" s="6">
        <f t="shared" si="2"/>
        <v>86</v>
      </c>
      <c r="K22" s="6">
        <f t="shared" si="1"/>
        <v>121</v>
      </c>
      <c r="L22" s="24">
        <f t="shared" si="3"/>
        <v>2580</v>
      </c>
      <c r="M22" s="24">
        <f t="shared" si="4"/>
        <v>3630</v>
      </c>
    </row>
    <row r="23" spans="1:13" x14ac:dyDescent="0.2">
      <c r="A23" s="2"/>
      <c r="B23" s="2"/>
      <c r="C23" s="2"/>
      <c r="D23" s="2"/>
      <c r="E23" s="3"/>
      <c r="F23" s="4"/>
      <c r="G23" s="8"/>
      <c r="H23" s="5"/>
      <c r="I23" s="5"/>
      <c r="J23" s="6"/>
      <c r="K23" s="6"/>
      <c r="L23" s="24"/>
      <c r="M23" s="24"/>
    </row>
    <row r="24" spans="1:13" x14ac:dyDescent="0.2">
      <c r="A24" s="2" t="s">
        <v>47</v>
      </c>
      <c r="B24" s="2" t="s">
        <v>48</v>
      </c>
      <c r="C24" s="2" t="s">
        <v>49</v>
      </c>
      <c r="D24" s="2" t="s">
        <v>49</v>
      </c>
      <c r="E24" s="3">
        <v>30</v>
      </c>
      <c r="F24" s="4">
        <v>1666</v>
      </c>
      <c r="G24" s="8">
        <f t="shared" ref="G24:G36" si="5">E24*F24</f>
        <v>49980</v>
      </c>
      <c r="H24">
        <v>4373</v>
      </c>
      <c r="I24" s="5">
        <v>2272</v>
      </c>
      <c r="J24" s="6">
        <f t="shared" si="2"/>
        <v>6645</v>
      </c>
      <c r="K24" s="6">
        <f t="shared" ref="K24:K36" si="6">F24-J24</f>
        <v>-4979</v>
      </c>
      <c r="L24" s="24">
        <f t="shared" si="3"/>
        <v>199350</v>
      </c>
      <c r="M24" s="24">
        <f t="shared" si="4"/>
        <v>-149370</v>
      </c>
    </row>
    <row r="25" spans="1:13" x14ac:dyDescent="0.2">
      <c r="A25" s="2"/>
      <c r="B25" s="2"/>
      <c r="C25" s="2"/>
      <c r="D25" s="2"/>
      <c r="E25" s="3"/>
      <c r="F25" s="4"/>
      <c r="G25" s="8"/>
      <c r="H25" s="5"/>
      <c r="I25" s="5"/>
      <c r="J25" s="6"/>
      <c r="K25" s="6"/>
      <c r="L25" s="24"/>
      <c r="M25" s="24"/>
    </row>
    <row r="26" spans="1:13" x14ac:dyDescent="0.2">
      <c r="A26" s="10" t="s">
        <v>50</v>
      </c>
      <c r="B26" s="10" t="s">
        <v>51</v>
      </c>
      <c r="C26" s="10" t="s">
        <v>52</v>
      </c>
      <c r="D26" s="10" t="s">
        <v>52</v>
      </c>
      <c r="E26" s="11">
        <v>10</v>
      </c>
      <c r="F26" s="12">
        <v>3750</v>
      </c>
      <c r="G26" s="13">
        <f t="shared" si="5"/>
        <v>37500</v>
      </c>
      <c r="H26" s="10">
        <v>0</v>
      </c>
      <c r="I26" s="10"/>
      <c r="J26" s="14">
        <f t="shared" si="2"/>
        <v>0</v>
      </c>
      <c r="K26" s="14">
        <f t="shared" si="6"/>
        <v>3750</v>
      </c>
      <c r="L26" s="24">
        <f t="shared" si="3"/>
        <v>0</v>
      </c>
      <c r="M26" s="24">
        <f t="shared" si="4"/>
        <v>37500</v>
      </c>
    </row>
    <row r="27" spans="1:13" x14ac:dyDescent="0.2">
      <c r="A27" s="10" t="s">
        <v>50</v>
      </c>
      <c r="B27" s="10" t="s">
        <v>51</v>
      </c>
      <c r="C27" s="10" t="s">
        <v>53</v>
      </c>
      <c r="D27" s="10" t="s">
        <v>53</v>
      </c>
      <c r="E27" s="11">
        <v>10</v>
      </c>
      <c r="F27" s="12">
        <v>3360</v>
      </c>
      <c r="G27" s="13">
        <f t="shared" si="5"/>
        <v>33600</v>
      </c>
      <c r="H27" s="10">
        <v>3544</v>
      </c>
      <c r="I27" s="10">
        <v>1400</v>
      </c>
      <c r="J27" s="14">
        <f t="shared" si="2"/>
        <v>4944</v>
      </c>
      <c r="K27" s="14">
        <f t="shared" si="6"/>
        <v>-1584</v>
      </c>
      <c r="L27" s="24">
        <f t="shared" si="3"/>
        <v>49440</v>
      </c>
      <c r="M27" s="24">
        <f t="shared" si="4"/>
        <v>-15840</v>
      </c>
    </row>
    <row r="28" spans="1:13" x14ac:dyDescent="0.2">
      <c r="A28" s="10" t="s">
        <v>50</v>
      </c>
      <c r="B28" s="10" t="s">
        <v>51</v>
      </c>
      <c r="C28" s="10" t="s">
        <v>54</v>
      </c>
      <c r="D28" s="10" t="s">
        <v>54</v>
      </c>
      <c r="E28" s="11">
        <v>5</v>
      </c>
      <c r="F28" s="12">
        <v>840</v>
      </c>
      <c r="G28" s="13">
        <f t="shared" si="5"/>
        <v>4200</v>
      </c>
      <c r="H28" s="10">
        <v>38</v>
      </c>
      <c r="I28" s="10">
        <v>30</v>
      </c>
      <c r="J28" s="14">
        <f t="shared" si="2"/>
        <v>68</v>
      </c>
      <c r="K28" s="14">
        <f t="shared" si="6"/>
        <v>772</v>
      </c>
      <c r="L28" s="24">
        <f t="shared" si="3"/>
        <v>340</v>
      </c>
      <c r="M28" s="24">
        <f t="shared" si="4"/>
        <v>3860</v>
      </c>
    </row>
    <row r="29" spans="1:13" x14ac:dyDescent="0.2">
      <c r="A29" s="10" t="s">
        <v>50</v>
      </c>
      <c r="B29" s="10" t="s">
        <v>51</v>
      </c>
      <c r="C29" s="10" t="s">
        <v>55</v>
      </c>
      <c r="D29" s="10" t="s">
        <v>55</v>
      </c>
      <c r="E29" s="11">
        <v>10</v>
      </c>
      <c r="F29" s="12">
        <v>1260</v>
      </c>
      <c r="G29" s="13">
        <f t="shared" si="5"/>
        <v>12600</v>
      </c>
      <c r="H29" s="10">
        <v>289</v>
      </c>
      <c r="I29" s="10">
        <v>60</v>
      </c>
      <c r="J29" s="14">
        <f t="shared" si="2"/>
        <v>349</v>
      </c>
      <c r="K29" s="14">
        <f t="shared" si="6"/>
        <v>911</v>
      </c>
      <c r="L29" s="24">
        <f t="shared" si="3"/>
        <v>3490</v>
      </c>
      <c r="M29" s="24">
        <f t="shared" si="4"/>
        <v>9110</v>
      </c>
    </row>
    <row r="30" spans="1:13" x14ac:dyDescent="0.2">
      <c r="A30" s="10" t="s">
        <v>50</v>
      </c>
      <c r="B30" s="10" t="s">
        <v>51</v>
      </c>
      <c r="C30" s="10" t="s">
        <v>56</v>
      </c>
      <c r="D30" s="10" t="s">
        <v>56</v>
      </c>
      <c r="E30" s="11">
        <v>10</v>
      </c>
      <c r="F30" s="12">
        <v>2100</v>
      </c>
      <c r="G30" s="13">
        <f t="shared" si="5"/>
        <v>21000</v>
      </c>
      <c r="H30" s="10">
        <v>746</v>
      </c>
      <c r="I30" s="10">
        <v>9</v>
      </c>
      <c r="J30" s="14">
        <f t="shared" si="2"/>
        <v>755</v>
      </c>
      <c r="K30" s="14">
        <f t="shared" si="6"/>
        <v>1345</v>
      </c>
      <c r="L30" s="24">
        <f t="shared" si="3"/>
        <v>7550</v>
      </c>
      <c r="M30" s="24">
        <f t="shared" si="4"/>
        <v>13450</v>
      </c>
    </row>
    <row r="31" spans="1:13" x14ac:dyDescent="0.2">
      <c r="A31" s="10" t="s">
        <v>50</v>
      </c>
      <c r="B31" s="10" t="s">
        <v>51</v>
      </c>
      <c r="C31" s="10" t="s">
        <v>57</v>
      </c>
      <c r="D31" s="10" t="s">
        <v>57</v>
      </c>
      <c r="E31" s="11">
        <v>10</v>
      </c>
      <c r="F31" s="12">
        <v>21</v>
      </c>
      <c r="G31" s="13">
        <f t="shared" si="5"/>
        <v>210</v>
      </c>
      <c r="H31" s="10">
        <v>0</v>
      </c>
      <c r="I31" s="10"/>
      <c r="J31" s="14">
        <f t="shared" si="2"/>
        <v>0</v>
      </c>
      <c r="K31" s="14">
        <f t="shared" si="6"/>
        <v>21</v>
      </c>
      <c r="L31" s="24">
        <f t="shared" si="3"/>
        <v>0</v>
      </c>
      <c r="M31" s="24">
        <f t="shared" si="4"/>
        <v>210</v>
      </c>
    </row>
    <row r="32" spans="1:13" x14ac:dyDescent="0.2">
      <c r="A32" s="10" t="s">
        <v>50</v>
      </c>
      <c r="B32" s="10" t="s">
        <v>51</v>
      </c>
      <c r="C32" s="10" t="s">
        <v>58</v>
      </c>
      <c r="D32" s="10" t="s">
        <v>58</v>
      </c>
      <c r="E32" s="11">
        <v>10</v>
      </c>
      <c r="F32" s="12">
        <v>21</v>
      </c>
      <c r="G32" s="13">
        <f t="shared" si="5"/>
        <v>210</v>
      </c>
      <c r="H32" s="10">
        <v>37</v>
      </c>
      <c r="I32" s="10"/>
      <c r="J32" s="14">
        <f t="shared" si="2"/>
        <v>37</v>
      </c>
      <c r="K32" s="14">
        <f t="shared" si="6"/>
        <v>-16</v>
      </c>
      <c r="L32" s="24">
        <f t="shared" si="3"/>
        <v>370</v>
      </c>
      <c r="M32" s="24">
        <f t="shared" si="4"/>
        <v>-160</v>
      </c>
    </row>
    <row r="33" spans="1:13" x14ac:dyDescent="0.2">
      <c r="A33" s="10" t="s">
        <v>50</v>
      </c>
      <c r="B33" s="10" t="s">
        <v>51</v>
      </c>
      <c r="C33" s="10" t="s">
        <v>59</v>
      </c>
      <c r="D33" s="10" t="s">
        <v>59</v>
      </c>
      <c r="E33" s="11">
        <v>30</v>
      </c>
      <c r="F33" s="12">
        <v>315</v>
      </c>
      <c r="G33" s="13">
        <f t="shared" si="5"/>
        <v>9450</v>
      </c>
      <c r="H33" s="10">
        <v>617</v>
      </c>
      <c r="I33" s="10">
        <v>54</v>
      </c>
      <c r="J33" s="14">
        <f t="shared" si="2"/>
        <v>671</v>
      </c>
      <c r="K33" s="14">
        <f t="shared" si="6"/>
        <v>-356</v>
      </c>
      <c r="L33" s="24">
        <f t="shared" si="3"/>
        <v>20130</v>
      </c>
      <c r="M33" s="24">
        <f t="shared" si="4"/>
        <v>-10680</v>
      </c>
    </row>
    <row r="34" spans="1:13" x14ac:dyDescent="0.2">
      <c r="A34" s="10" t="s">
        <v>50</v>
      </c>
      <c r="B34" s="10" t="s">
        <v>51</v>
      </c>
      <c r="C34" s="10" t="s">
        <v>60</v>
      </c>
      <c r="D34" s="10" t="s">
        <v>60</v>
      </c>
      <c r="E34" s="11">
        <v>30</v>
      </c>
      <c r="F34" s="12">
        <v>126</v>
      </c>
      <c r="G34" s="13">
        <f t="shared" si="5"/>
        <v>3780</v>
      </c>
      <c r="H34" s="10">
        <v>30</v>
      </c>
      <c r="I34" s="10"/>
      <c r="J34" s="14">
        <f t="shared" si="2"/>
        <v>30</v>
      </c>
      <c r="K34" s="14">
        <f t="shared" si="6"/>
        <v>96</v>
      </c>
      <c r="L34" s="24">
        <f t="shared" si="3"/>
        <v>900</v>
      </c>
      <c r="M34" s="24">
        <f t="shared" si="4"/>
        <v>2880</v>
      </c>
    </row>
    <row r="35" spans="1:13" x14ac:dyDescent="0.2">
      <c r="A35" s="10" t="s">
        <v>50</v>
      </c>
      <c r="B35" s="10" t="s">
        <v>51</v>
      </c>
      <c r="C35" s="10" t="s">
        <v>61</v>
      </c>
      <c r="D35" s="10" t="s">
        <v>61</v>
      </c>
      <c r="E35" s="11">
        <v>30</v>
      </c>
      <c r="F35" s="12">
        <v>126</v>
      </c>
      <c r="G35" s="13">
        <f t="shared" si="5"/>
        <v>3780</v>
      </c>
      <c r="H35" s="10">
        <v>74</v>
      </c>
      <c r="I35" s="10"/>
      <c r="J35" s="14">
        <f t="shared" si="2"/>
        <v>74</v>
      </c>
      <c r="K35" s="14">
        <f t="shared" si="6"/>
        <v>52</v>
      </c>
      <c r="L35" s="24">
        <f t="shared" si="3"/>
        <v>2220</v>
      </c>
      <c r="M35" s="24">
        <f t="shared" si="4"/>
        <v>1560</v>
      </c>
    </row>
    <row r="36" spans="1:13" x14ac:dyDescent="0.2">
      <c r="A36" s="10" t="s">
        <v>50</v>
      </c>
      <c r="B36" s="10" t="s">
        <v>51</v>
      </c>
      <c r="C36" s="10" t="s">
        <v>62</v>
      </c>
      <c r="D36" s="10" t="s">
        <v>62</v>
      </c>
      <c r="E36" s="11">
        <v>30</v>
      </c>
      <c r="F36" s="12">
        <v>420</v>
      </c>
      <c r="G36" s="13">
        <f t="shared" si="5"/>
        <v>12600</v>
      </c>
      <c r="H36" s="10">
        <v>522</v>
      </c>
      <c r="I36" s="10">
        <v>192</v>
      </c>
      <c r="J36" s="14">
        <f t="shared" si="2"/>
        <v>714</v>
      </c>
      <c r="K36" s="14">
        <f t="shared" si="6"/>
        <v>-294</v>
      </c>
      <c r="L36" s="24">
        <f t="shared" si="3"/>
        <v>21420</v>
      </c>
      <c r="M36" s="24">
        <f t="shared" si="4"/>
        <v>-8820</v>
      </c>
    </row>
    <row r="37" spans="1:13" x14ac:dyDescent="0.2">
      <c r="A37" s="10"/>
      <c r="B37" s="10"/>
      <c r="C37" s="10"/>
      <c r="D37" s="10"/>
      <c r="E37" s="11"/>
      <c r="F37" s="12"/>
      <c r="G37" s="13"/>
      <c r="H37" s="10"/>
      <c r="I37" s="10"/>
      <c r="J37" s="14"/>
      <c r="K37" s="14"/>
      <c r="L37" s="24"/>
      <c r="M37" s="24"/>
    </row>
    <row r="38" spans="1:13" x14ac:dyDescent="0.2">
      <c r="A38" s="16"/>
      <c r="B38" s="16"/>
      <c r="C38" s="16"/>
      <c r="D38" s="16"/>
      <c r="E38" s="17"/>
      <c r="F38" s="18"/>
      <c r="G38" s="19"/>
      <c r="H38" s="16"/>
      <c r="I38" s="16"/>
      <c r="J38" s="20"/>
      <c r="K38" s="20"/>
      <c r="L38" s="24"/>
      <c r="M38" s="24"/>
    </row>
    <row r="39" spans="1:13" x14ac:dyDescent="0.2">
      <c r="A39" s="2" t="s">
        <v>63</v>
      </c>
      <c r="B39" s="2" t="s">
        <v>64</v>
      </c>
      <c r="C39" s="2" t="s">
        <v>52</v>
      </c>
      <c r="D39" s="2" t="s">
        <v>52</v>
      </c>
      <c r="E39" s="3">
        <v>10</v>
      </c>
      <c r="F39" s="4">
        <v>1630</v>
      </c>
      <c r="G39" s="8">
        <f t="shared" ref="G39:G49" si="7">E39*F39</f>
        <v>16300</v>
      </c>
      <c r="H39" s="5">
        <v>8840</v>
      </c>
      <c r="I39" s="5"/>
      <c r="J39" s="6">
        <f t="shared" si="2"/>
        <v>8840</v>
      </c>
      <c r="K39" s="6">
        <f t="shared" ref="K39:K49" si="8">F39-J39</f>
        <v>-7210</v>
      </c>
      <c r="L39" s="24">
        <f t="shared" si="3"/>
        <v>88400</v>
      </c>
      <c r="M39" s="24">
        <f t="shared" si="4"/>
        <v>-72100</v>
      </c>
    </row>
    <row r="40" spans="1:13" x14ac:dyDescent="0.2">
      <c r="A40" s="2" t="s">
        <v>63</v>
      </c>
      <c r="B40" s="2" t="s">
        <v>64</v>
      </c>
      <c r="C40" s="2" t="s">
        <v>53</v>
      </c>
      <c r="D40" s="2" t="s">
        <v>53</v>
      </c>
      <c r="E40" s="3">
        <v>10</v>
      </c>
      <c r="F40" s="4">
        <v>4238</v>
      </c>
      <c r="G40" s="8">
        <f t="shared" si="7"/>
        <v>42380</v>
      </c>
      <c r="H40" s="5">
        <v>1990</v>
      </c>
      <c r="I40" s="5">
        <v>2816</v>
      </c>
      <c r="J40" s="6">
        <f t="shared" si="2"/>
        <v>4806</v>
      </c>
      <c r="K40" s="6">
        <f t="shared" si="8"/>
        <v>-568</v>
      </c>
      <c r="L40" s="24">
        <f t="shared" si="3"/>
        <v>48060</v>
      </c>
      <c r="M40" s="24">
        <f t="shared" si="4"/>
        <v>-5680</v>
      </c>
    </row>
    <row r="41" spans="1:13" x14ac:dyDescent="0.2">
      <c r="A41" s="2" t="s">
        <v>63</v>
      </c>
      <c r="B41" s="2" t="s">
        <v>64</v>
      </c>
      <c r="C41" s="2" t="s">
        <v>54</v>
      </c>
      <c r="D41" s="2" t="s">
        <v>54</v>
      </c>
      <c r="E41" s="3">
        <v>5</v>
      </c>
      <c r="F41" s="4">
        <v>639</v>
      </c>
      <c r="G41" s="8">
        <f t="shared" si="7"/>
        <v>3195</v>
      </c>
      <c r="H41" s="5">
        <v>209</v>
      </c>
      <c r="I41" s="5"/>
      <c r="J41" s="6">
        <f t="shared" si="2"/>
        <v>209</v>
      </c>
      <c r="K41" s="6">
        <f t="shared" si="8"/>
        <v>430</v>
      </c>
      <c r="L41" s="24">
        <f t="shared" si="3"/>
        <v>1045</v>
      </c>
      <c r="M41" s="24">
        <f t="shared" si="4"/>
        <v>2150</v>
      </c>
    </row>
    <row r="42" spans="1:13" x14ac:dyDescent="0.2">
      <c r="A42" s="2" t="s">
        <v>63</v>
      </c>
      <c r="B42" s="2" t="s">
        <v>64</v>
      </c>
      <c r="C42" s="2" t="s">
        <v>55</v>
      </c>
      <c r="D42" s="2" t="s">
        <v>55</v>
      </c>
      <c r="E42" s="3">
        <v>10</v>
      </c>
      <c r="F42" s="4">
        <v>892</v>
      </c>
      <c r="G42" s="8">
        <f t="shared" si="7"/>
        <v>8920</v>
      </c>
      <c r="H42" s="5">
        <v>200</v>
      </c>
      <c r="I42" s="5"/>
      <c r="J42" s="6">
        <f t="shared" si="2"/>
        <v>200</v>
      </c>
      <c r="K42" s="6">
        <f t="shared" si="8"/>
        <v>692</v>
      </c>
      <c r="L42" s="24">
        <f t="shared" si="3"/>
        <v>2000</v>
      </c>
      <c r="M42" s="24">
        <f t="shared" si="4"/>
        <v>6920</v>
      </c>
    </row>
    <row r="43" spans="1:13" x14ac:dyDescent="0.2">
      <c r="A43" s="2" t="s">
        <v>63</v>
      </c>
      <c r="B43" s="2" t="s">
        <v>64</v>
      </c>
      <c r="C43" s="2" t="s">
        <v>56</v>
      </c>
      <c r="D43" s="2" t="s">
        <v>56</v>
      </c>
      <c r="E43" s="3">
        <v>10</v>
      </c>
      <c r="F43" s="4">
        <v>827</v>
      </c>
      <c r="G43" s="8">
        <f t="shared" si="7"/>
        <v>8270</v>
      </c>
      <c r="H43" s="5">
        <v>200</v>
      </c>
      <c r="I43" s="5">
        <v>12</v>
      </c>
      <c r="J43" s="6">
        <f t="shared" si="2"/>
        <v>212</v>
      </c>
      <c r="K43" s="6">
        <f t="shared" si="8"/>
        <v>615</v>
      </c>
      <c r="L43" s="24">
        <f t="shared" si="3"/>
        <v>2120</v>
      </c>
      <c r="M43" s="24">
        <f t="shared" si="4"/>
        <v>6150</v>
      </c>
    </row>
    <row r="44" spans="1:13" x14ac:dyDescent="0.2">
      <c r="A44" s="2" t="s">
        <v>63</v>
      </c>
      <c r="B44" s="2" t="s">
        <v>64</v>
      </c>
      <c r="C44" s="2" t="s">
        <v>57</v>
      </c>
      <c r="D44" s="2" t="s">
        <v>57</v>
      </c>
      <c r="E44" s="3">
        <v>10</v>
      </c>
      <c r="F44" s="4">
        <v>64</v>
      </c>
      <c r="G44" s="8">
        <f t="shared" si="7"/>
        <v>640</v>
      </c>
      <c r="H44" s="5">
        <v>0</v>
      </c>
      <c r="I44" s="5"/>
      <c r="J44" s="6">
        <f t="shared" si="2"/>
        <v>0</v>
      </c>
      <c r="K44" s="6">
        <f t="shared" si="8"/>
        <v>64</v>
      </c>
      <c r="L44" s="24">
        <f t="shared" si="3"/>
        <v>0</v>
      </c>
      <c r="M44" s="24">
        <f t="shared" si="4"/>
        <v>640</v>
      </c>
    </row>
    <row r="45" spans="1:13" x14ac:dyDescent="0.2">
      <c r="A45" s="2" t="s">
        <v>63</v>
      </c>
      <c r="B45" s="2" t="s">
        <v>64</v>
      </c>
      <c r="C45" s="2" t="s">
        <v>58</v>
      </c>
      <c r="D45" s="2" t="s">
        <v>58</v>
      </c>
      <c r="E45" s="3">
        <v>10</v>
      </c>
      <c r="F45" s="4">
        <v>250</v>
      </c>
      <c r="G45" s="8">
        <f t="shared" si="7"/>
        <v>2500</v>
      </c>
      <c r="H45" s="5">
        <v>0</v>
      </c>
      <c r="I45" s="5"/>
      <c r="J45" s="6">
        <f t="shared" si="2"/>
        <v>0</v>
      </c>
      <c r="K45" s="6">
        <f t="shared" si="8"/>
        <v>250</v>
      </c>
      <c r="L45" s="24">
        <f t="shared" si="3"/>
        <v>0</v>
      </c>
      <c r="M45" s="24">
        <f t="shared" si="4"/>
        <v>2500</v>
      </c>
    </row>
    <row r="46" spans="1:13" x14ac:dyDescent="0.2">
      <c r="A46" s="2" t="s">
        <v>63</v>
      </c>
      <c r="B46" s="2" t="s">
        <v>64</v>
      </c>
      <c r="C46" s="2" t="s">
        <v>59</v>
      </c>
      <c r="D46" s="2" t="s">
        <v>59</v>
      </c>
      <c r="E46" s="3">
        <v>30</v>
      </c>
      <c r="F46" s="4">
        <v>513</v>
      </c>
      <c r="G46" s="8">
        <f t="shared" si="7"/>
        <v>15390</v>
      </c>
      <c r="H46" s="5">
        <v>100</v>
      </c>
      <c r="I46" s="5"/>
      <c r="J46" s="6">
        <f t="shared" si="2"/>
        <v>100</v>
      </c>
      <c r="K46" s="6">
        <f t="shared" si="8"/>
        <v>413</v>
      </c>
      <c r="L46" s="24">
        <f t="shared" si="3"/>
        <v>3000</v>
      </c>
      <c r="M46" s="24">
        <f t="shared" si="4"/>
        <v>12390</v>
      </c>
    </row>
    <row r="47" spans="1:13" x14ac:dyDescent="0.2">
      <c r="A47" s="2" t="s">
        <v>63</v>
      </c>
      <c r="B47" s="2" t="s">
        <v>64</v>
      </c>
      <c r="C47" s="2" t="s">
        <v>60</v>
      </c>
      <c r="D47" s="2" t="s">
        <v>60</v>
      </c>
      <c r="E47" s="3">
        <v>30</v>
      </c>
      <c r="F47" s="4">
        <v>125</v>
      </c>
      <c r="G47" s="8">
        <f t="shared" si="7"/>
        <v>3750</v>
      </c>
      <c r="H47" s="5">
        <v>40</v>
      </c>
      <c r="I47" s="5"/>
      <c r="J47" s="6">
        <f t="shared" si="2"/>
        <v>40</v>
      </c>
      <c r="K47" s="6">
        <f t="shared" si="8"/>
        <v>85</v>
      </c>
      <c r="L47" s="24">
        <f t="shared" si="3"/>
        <v>1200</v>
      </c>
      <c r="M47" s="24">
        <f t="shared" si="4"/>
        <v>2550</v>
      </c>
    </row>
    <row r="48" spans="1:13" x14ac:dyDescent="0.2">
      <c r="A48" s="2" t="s">
        <v>63</v>
      </c>
      <c r="B48" s="2" t="s">
        <v>64</v>
      </c>
      <c r="C48" s="2" t="s">
        <v>61</v>
      </c>
      <c r="D48" s="2" t="s">
        <v>61</v>
      </c>
      <c r="E48" s="3">
        <v>30</v>
      </c>
      <c r="F48" s="4">
        <v>87</v>
      </c>
      <c r="G48" s="8">
        <f t="shared" si="7"/>
        <v>2610</v>
      </c>
      <c r="H48" s="5">
        <v>0</v>
      </c>
      <c r="I48" s="5"/>
      <c r="J48" s="6">
        <f t="shared" si="2"/>
        <v>0</v>
      </c>
      <c r="K48" s="6">
        <f t="shared" si="8"/>
        <v>87</v>
      </c>
      <c r="L48" s="24">
        <f t="shared" si="3"/>
        <v>0</v>
      </c>
      <c r="M48" s="24">
        <f t="shared" si="4"/>
        <v>2610</v>
      </c>
    </row>
    <row r="49" spans="1:13" x14ac:dyDescent="0.2">
      <c r="A49" s="2" t="s">
        <v>63</v>
      </c>
      <c r="B49" s="2" t="s">
        <v>64</v>
      </c>
      <c r="C49" s="2" t="s">
        <v>62</v>
      </c>
      <c r="D49" s="2" t="s">
        <v>62</v>
      </c>
      <c r="E49" s="3">
        <v>30</v>
      </c>
      <c r="F49" s="4">
        <v>431</v>
      </c>
      <c r="G49" s="8">
        <f t="shared" si="7"/>
        <v>12930</v>
      </c>
      <c r="H49" s="5">
        <v>0</v>
      </c>
      <c r="I49" s="5"/>
      <c r="J49" s="6">
        <f t="shared" si="2"/>
        <v>0</v>
      </c>
      <c r="K49" s="6">
        <f t="shared" si="8"/>
        <v>431</v>
      </c>
      <c r="L49" s="24">
        <f t="shared" si="3"/>
        <v>0</v>
      </c>
      <c r="M49" s="24">
        <f t="shared" si="4"/>
        <v>12930</v>
      </c>
    </row>
  </sheetData>
  <conditionalFormatting sqref="H3:I49">
    <cfRule type="cellIs" dxfId="5" priority="4" operator="lessThan">
      <formula>0</formula>
    </cfRule>
  </conditionalFormatting>
  <conditionalFormatting sqref="K3:M49">
    <cfRule type="cellIs" dxfId="4" priority="2" operator="lessThan">
      <formula>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24AB-8DF7-419E-8ABF-C083BA7B6890}">
  <dimension ref="A1:N50"/>
  <sheetViews>
    <sheetView showGridLines="0" zoomScaleNormal="100" workbookViewId="0">
      <pane ySplit="1" topLeftCell="A2" activePane="bottomLeft" state="frozen"/>
      <selection pane="bottomLeft" activeCell="I11" sqref="I11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16.140625" bestFit="1" customWidth="1"/>
    <col min="4" max="4" width="33" customWidth="1"/>
    <col min="5" max="10" width="14.28515625" customWidth="1"/>
    <col min="11" max="11" width="9.140625" customWidth="1"/>
    <col min="12" max="12" width="14.42578125" customWidth="1"/>
    <col min="13" max="13" width="11.5703125" bestFit="1" customWidth="1"/>
    <col min="14" max="14" width="11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2" t="s">
        <v>11</v>
      </c>
      <c r="B3" s="2" t="s">
        <v>12</v>
      </c>
      <c r="C3" s="2" t="s">
        <v>13</v>
      </c>
      <c r="D3" s="2" t="s">
        <v>14</v>
      </c>
      <c r="E3" s="3">
        <v>30</v>
      </c>
      <c r="F3" s="4">
        <v>333</v>
      </c>
      <c r="G3" s="8">
        <f t="shared" ref="G3:G22" si="0">E3*F3</f>
        <v>9990</v>
      </c>
      <c r="H3" s="5">
        <v>130</v>
      </c>
      <c r="I3" s="5">
        <v>132</v>
      </c>
      <c r="J3" s="6">
        <f>H3+I3</f>
        <v>262</v>
      </c>
      <c r="K3" s="6">
        <f t="shared" ref="K3:K22" si="1">F3-J3</f>
        <v>71</v>
      </c>
    </row>
    <row r="4" spans="1:11" x14ac:dyDescent="0.2">
      <c r="A4" s="2" t="s">
        <v>11</v>
      </c>
      <c r="B4" s="2" t="s">
        <v>12</v>
      </c>
      <c r="C4" s="2" t="s">
        <v>15</v>
      </c>
      <c r="D4" s="2" t="s">
        <v>14</v>
      </c>
      <c r="E4" s="3">
        <v>30</v>
      </c>
      <c r="F4" s="4">
        <v>1</v>
      </c>
      <c r="G4" s="8">
        <f t="shared" si="0"/>
        <v>30</v>
      </c>
      <c r="H4" s="5">
        <v>0</v>
      </c>
      <c r="I4" s="5"/>
      <c r="J4" s="6">
        <f t="shared" ref="J4:J49" si="2">H4+I4</f>
        <v>0</v>
      </c>
      <c r="K4" s="6">
        <f t="shared" si="1"/>
        <v>1</v>
      </c>
    </row>
    <row r="5" spans="1:11" x14ac:dyDescent="0.2">
      <c r="A5" s="2" t="s">
        <v>11</v>
      </c>
      <c r="B5" s="2" t="s">
        <v>12</v>
      </c>
      <c r="C5" s="2" t="s">
        <v>16</v>
      </c>
      <c r="D5" s="2" t="s">
        <v>17</v>
      </c>
      <c r="E5" s="3">
        <v>30</v>
      </c>
      <c r="F5" s="4">
        <v>194</v>
      </c>
      <c r="G5" s="8">
        <f t="shared" si="0"/>
        <v>5820</v>
      </c>
      <c r="H5" s="5">
        <v>79</v>
      </c>
      <c r="I5" s="5">
        <v>100</v>
      </c>
      <c r="J5" s="6">
        <f t="shared" si="2"/>
        <v>179</v>
      </c>
      <c r="K5" s="6">
        <f t="shared" si="1"/>
        <v>15</v>
      </c>
    </row>
    <row r="6" spans="1:11" x14ac:dyDescent="0.2">
      <c r="A6" s="2" t="s">
        <v>11</v>
      </c>
      <c r="B6" s="2" t="s">
        <v>12</v>
      </c>
      <c r="C6" s="2" t="s">
        <v>18</v>
      </c>
      <c r="D6" s="2" t="s">
        <v>17</v>
      </c>
      <c r="E6" s="3">
        <v>30</v>
      </c>
      <c r="F6" s="4">
        <v>1</v>
      </c>
      <c r="G6" s="8">
        <f t="shared" si="0"/>
        <v>30</v>
      </c>
      <c r="H6" s="5">
        <v>0</v>
      </c>
      <c r="I6" s="5"/>
      <c r="J6" s="6">
        <f t="shared" si="2"/>
        <v>0</v>
      </c>
      <c r="K6" s="6">
        <f t="shared" si="1"/>
        <v>1</v>
      </c>
    </row>
    <row r="7" spans="1:11" x14ac:dyDescent="0.2">
      <c r="A7" s="2" t="s">
        <v>11</v>
      </c>
      <c r="B7" s="2" t="s">
        <v>12</v>
      </c>
      <c r="C7" s="2" t="s">
        <v>19</v>
      </c>
      <c r="D7" s="2" t="s">
        <v>20</v>
      </c>
      <c r="E7" s="3">
        <v>30</v>
      </c>
      <c r="F7" s="4">
        <v>226</v>
      </c>
      <c r="G7" s="8">
        <f t="shared" si="0"/>
        <v>6780</v>
      </c>
      <c r="H7" s="5">
        <v>176</v>
      </c>
      <c r="I7" s="5">
        <v>132</v>
      </c>
      <c r="J7" s="6">
        <f t="shared" si="2"/>
        <v>308</v>
      </c>
      <c r="K7" s="6">
        <f t="shared" si="1"/>
        <v>-82</v>
      </c>
    </row>
    <row r="8" spans="1:11" x14ac:dyDescent="0.2">
      <c r="A8" s="2" t="s">
        <v>11</v>
      </c>
      <c r="B8" s="2" t="s">
        <v>12</v>
      </c>
      <c r="C8" s="2" t="s">
        <v>21</v>
      </c>
      <c r="D8" s="2" t="s">
        <v>20</v>
      </c>
      <c r="E8" s="3">
        <v>30</v>
      </c>
      <c r="F8" s="4">
        <v>1</v>
      </c>
      <c r="G8" s="8">
        <f t="shared" si="0"/>
        <v>30</v>
      </c>
      <c r="H8" s="5">
        <v>0</v>
      </c>
      <c r="I8" s="5"/>
      <c r="J8" s="6">
        <f t="shared" si="2"/>
        <v>0</v>
      </c>
      <c r="K8" s="6">
        <f t="shared" si="1"/>
        <v>1</v>
      </c>
    </row>
    <row r="9" spans="1:11" x14ac:dyDescent="0.2">
      <c r="A9" s="2" t="s">
        <v>11</v>
      </c>
      <c r="B9" s="2" t="s">
        <v>12</v>
      </c>
      <c r="C9" s="2" t="s">
        <v>22</v>
      </c>
      <c r="D9" s="2" t="s">
        <v>23</v>
      </c>
      <c r="E9" s="3">
        <v>30</v>
      </c>
      <c r="F9" s="4">
        <v>121</v>
      </c>
      <c r="G9" s="8">
        <f t="shared" si="0"/>
        <v>3630</v>
      </c>
      <c r="H9" s="5">
        <v>24</v>
      </c>
      <c r="I9" s="5">
        <v>30</v>
      </c>
      <c r="J9" s="6">
        <f t="shared" si="2"/>
        <v>54</v>
      </c>
      <c r="K9" s="6">
        <f t="shared" si="1"/>
        <v>67</v>
      </c>
    </row>
    <row r="10" spans="1:11" x14ac:dyDescent="0.2">
      <c r="A10" s="2" t="s">
        <v>11</v>
      </c>
      <c r="B10" s="2" t="s">
        <v>12</v>
      </c>
      <c r="C10" s="2" t="s">
        <v>24</v>
      </c>
      <c r="D10" s="2" t="s">
        <v>25</v>
      </c>
      <c r="E10" s="3">
        <v>30</v>
      </c>
      <c r="F10" s="4">
        <v>95</v>
      </c>
      <c r="G10" s="8">
        <f t="shared" si="0"/>
        <v>2850</v>
      </c>
      <c r="H10" s="5">
        <v>66</v>
      </c>
      <c r="I10" s="5">
        <v>38</v>
      </c>
      <c r="J10" s="6">
        <f t="shared" si="2"/>
        <v>104</v>
      </c>
      <c r="K10" s="6">
        <f t="shared" si="1"/>
        <v>-9</v>
      </c>
    </row>
    <row r="11" spans="1:11" x14ac:dyDescent="0.2">
      <c r="A11" s="2" t="s">
        <v>11</v>
      </c>
      <c r="B11" s="2" t="s">
        <v>12</v>
      </c>
      <c r="C11" s="2" t="s">
        <v>26</v>
      </c>
      <c r="D11" s="2" t="s">
        <v>27</v>
      </c>
      <c r="E11" s="3">
        <v>30</v>
      </c>
      <c r="F11" s="4">
        <v>181</v>
      </c>
      <c r="G11" s="8">
        <f t="shared" si="0"/>
        <v>5430</v>
      </c>
      <c r="H11" s="5">
        <v>65</v>
      </c>
      <c r="I11" s="5">
        <v>30</v>
      </c>
      <c r="J11" s="6">
        <f t="shared" si="2"/>
        <v>95</v>
      </c>
      <c r="K11" s="6">
        <f t="shared" si="1"/>
        <v>86</v>
      </c>
    </row>
    <row r="12" spans="1:11" x14ac:dyDescent="0.2">
      <c r="A12" s="2" t="s">
        <v>11</v>
      </c>
      <c r="B12" s="2" t="s">
        <v>12</v>
      </c>
      <c r="C12" s="2" t="s">
        <v>28</v>
      </c>
      <c r="D12" s="2" t="s">
        <v>29</v>
      </c>
      <c r="E12" s="3">
        <v>30</v>
      </c>
      <c r="F12" s="4">
        <v>96</v>
      </c>
      <c r="G12" s="8">
        <f t="shared" si="0"/>
        <v>2880</v>
      </c>
      <c r="H12" s="5">
        <v>8</v>
      </c>
      <c r="I12" s="5">
        <v>42</v>
      </c>
      <c r="J12" s="6">
        <f t="shared" si="2"/>
        <v>50</v>
      </c>
      <c r="K12" s="6">
        <f t="shared" si="1"/>
        <v>46</v>
      </c>
    </row>
    <row r="13" spans="1:11" x14ac:dyDescent="0.2">
      <c r="A13" s="2" t="s">
        <v>11</v>
      </c>
      <c r="B13" s="2" t="s">
        <v>12</v>
      </c>
      <c r="C13" s="2" t="s">
        <v>30</v>
      </c>
      <c r="D13" s="2" t="s">
        <v>29</v>
      </c>
      <c r="E13" s="3">
        <v>30</v>
      </c>
      <c r="F13" s="4">
        <v>1</v>
      </c>
      <c r="G13" s="8">
        <f t="shared" si="0"/>
        <v>30</v>
      </c>
      <c r="H13" s="5">
        <v>0</v>
      </c>
      <c r="I13" s="5"/>
      <c r="J13" s="6">
        <f t="shared" si="2"/>
        <v>0</v>
      </c>
      <c r="K13" s="6">
        <f t="shared" si="1"/>
        <v>1</v>
      </c>
    </row>
    <row r="14" spans="1:11" x14ac:dyDescent="0.2">
      <c r="A14" s="2" t="s">
        <v>11</v>
      </c>
      <c r="B14" s="2" t="s">
        <v>12</v>
      </c>
      <c r="C14" s="2" t="s">
        <v>31</v>
      </c>
      <c r="D14" s="2" t="s">
        <v>32</v>
      </c>
      <c r="E14" s="3">
        <v>30</v>
      </c>
      <c r="F14" s="4">
        <v>108</v>
      </c>
      <c r="G14" s="8">
        <f t="shared" si="0"/>
        <v>3240</v>
      </c>
      <c r="H14" s="5">
        <v>11</v>
      </c>
      <c r="I14" s="5">
        <v>42</v>
      </c>
      <c r="J14" s="6">
        <f t="shared" si="2"/>
        <v>53</v>
      </c>
      <c r="K14" s="6">
        <f t="shared" si="1"/>
        <v>55</v>
      </c>
    </row>
    <row r="15" spans="1:11" x14ac:dyDescent="0.2">
      <c r="A15" s="2" t="s">
        <v>11</v>
      </c>
      <c r="B15" s="2" t="s">
        <v>12</v>
      </c>
      <c r="C15" s="2" t="s">
        <v>33</v>
      </c>
      <c r="D15" s="2" t="s">
        <v>32</v>
      </c>
      <c r="E15" s="3">
        <v>30</v>
      </c>
      <c r="F15" s="4">
        <v>1</v>
      </c>
      <c r="G15" s="8">
        <f t="shared" si="0"/>
        <v>30</v>
      </c>
      <c r="H15" s="5">
        <v>0</v>
      </c>
      <c r="I15" s="5"/>
      <c r="J15" s="6">
        <f t="shared" si="2"/>
        <v>0</v>
      </c>
      <c r="K15" s="6">
        <f t="shared" si="1"/>
        <v>1</v>
      </c>
    </row>
    <row r="16" spans="1:11" x14ac:dyDescent="0.2">
      <c r="A16" s="2" t="s">
        <v>11</v>
      </c>
      <c r="B16" s="2" t="s">
        <v>12</v>
      </c>
      <c r="C16" s="2" t="s">
        <v>34</v>
      </c>
      <c r="D16" s="2" t="s">
        <v>35</v>
      </c>
      <c r="E16" s="3">
        <v>30</v>
      </c>
      <c r="F16" s="4">
        <v>136</v>
      </c>
      <c r="G16" s="8">
        <f t="shared" si="0"/>
        <v>4080</v>
      </c>
      <c r="H16" s="5">
        <v>8</v>
      </c>
      <c r="I16" s="5">
        <v>42</v>
      </c>
      <c r="J16" s="6">
        <f t="shared" si="2"/>
        <v>50</v>
      </c>
      <c r="K16" s="6">
        <f t="shared" si="1"/>
        <v>86</v>
      </c>
    </row>
    <row r="17" spans="1:14" x14ac:dyDescent="0.2">
      <c r="A17" s="2" t="s">
        <v>11</v>
      </c>
      <c r="B17" s="2" t="s">
        <v>12</v>
      </c>
      <c r="C17" s="2" t="s">
        <v>36</v>
      </c>
      <c r="D17" s="2" t="s">
        <v>35</v>
      </c>
      <c r="E17" s="3">
        <v>30</v>
      </c>
      <c r="F17" s="4">
        <v>1</v>
      </c>
      <c r="G17" s="8">
        <f t="shared" si="0"/>
        <v>30</v>
      </c>
      <c r="H17" s="5">
        <v>0</v>
      </c>
      <c r="I17" s="5"/>
      <c r="J17" s="6">
        <f t="shared" si="2"/>
        <v>0</v>
      </c>
      <c r="K17" s="6">
        <f t="shared" si="1"/>
        <v>1</v>
      </c>
    </row>
    <row r="18" spans="1:14" x14ac:dyDescent="0.2">
      <c r="A18" s="2" t="s">
        <v>11</v>
      </c>
      <c r="B18" s="2" t="s">
        <v>12</v>
      </c>
      <c r="C18" s="2" t="s">
        <v>37</v>
      </c>
      <c r="D18" s="2" t="s">
        <v>38</v>
      </c>
      <c r="E18" s="3">
        <v>30</v>
      </c>
      <c r="F18" s="4">
        <v>54</v>
      </c>
      <c r="G18" s="8">
        <f t="shared" si="0"/>
        <v>1620</v>
      </c>
      <c r="H18" s="5">
        <v>78</v>
      </c>
      <c r="I18" s="5"/>
      <c r="J18" s="6">
        <f t="shared" si="2"/>
        <v>78</v>
      </c>
      <c r="K18" s="6">
        <f t="shared" si="1"/>
        <v>-24</v>
      </c>
    </row>
    <row r="19" spans="1:14" x14ac:dyDescent="0.2">
      <c r="A19" s="2" t="s">
        <v>11</v>
      </c>
      <c r="B19" s="2" t="s">
        <v>12</v>
      </c>
      <c r="C19" s="2" t="s">
        <v>39</v>
      </c>
      <c r="D19" s="2" t="s">
        <v>40</v>
      </c>
      <c r="E19" s="3">
        <v>30</v>
      </c>
      <c r="F19" s="4">
        <v>210</v>
      </c>
      <c r="G19" s="8">
        <f t="shared" si="0"/>
        <v>6300</v>
      </c>
      <c r="H19" s="5">
        <v>44</v>
      </c>
      <c r="I19" s="5">
        <v>31</v>
      </c>
      <c r="J19" s="6">
        <f t="shared" si="2"/>
        <v>75</v>
      </c>
      <c r="K19" s="6">
        <f t="shared" si="1"/>
        <v>135</v>
      </c>
    </row>
    <row r="20" spans="1:14" x14ac:dyDescent="0.2">
      <c r="A20" s="2" t="s">
        <v>11</v>
      </c>
      <c r="B20" s="2" t="s">
        <v>12</v>
      </c>
      <c r="C20" s="2" t="s">
        <v>41</v>
      </c>
      <c r="D20" s="2" t="s">
        <v>42</v>
      </c>
      <c r="E20" s="3">
        <v>30</v>
      </c>
      <c r="F20" s="4">
        <v>286</v>
      </c>
      <c r="G20" s="8">
        <f t="shared" si="0"/>
        <v>8580</v>
      </c>
      <c r="H20" s="5">
        <v>34</v>
      </c>
      <c r="I20" s="5">
        <v>42</v>
      </c>
      <c r="J20" s="6">
        <f t="shared" si="2"/>
        <v>76</v>
      </c>
      <c r="K20" s="6">
        <f t="shared" si="1"/>
        <v>210</v>
      </c>
    </row>
    <row r="21" spans="1:14" x14ac:dyDescent="0.2">
      <c r="A21" s="2" t="s">
        <v>11</v>
      </c>
      <c r="B21" s="2" t="s">
        <v>12</v>
      </c>
      <c r="C21" s="2" t="s">
        <v>43</v>
      </c>
      <c r="D21" s="2" t="s">
        <v>44</v>
      </c>
      <c r="E21" s="3">
        <v>30</v>
      </c>
      <c r="F21" s="4">
        <v>205</v>
      </c>
      <c r="G21" s="8">
        <f t="shared" si="0"/>
        <v>6150</v>
      </c>
      <c r="H21" s="5">
        <v>101</v>
      </c>
      <c r="I21" s="5"/>
      <c r="J21" s="6">
        <f t="shared" si="2"/>
        <v>101</v>
      </c>
      <c r="K21" s="6">
        <f t="shared" si="1"/>
        <v>104</v>
      </c>
    </row>
    <row r="22" spans="1:14" x14ac:dyDescent="0.2">
      <c r="A22" s="2" t="s">
        <v>11</v>
      </c>
      <c r="B22" s="2" t="s">
        <v>12</v>
      </c>
      <c r="C22" s="2" t="s">
        <v>45</v>
      </c>
      <c r="D22" s="2" t="s">
        <v>46</v>
      </c>
      <c r="E22" s="3">
        <v>30</v>
      </c>
      <c r="F22" s="4">
        <v>207</v>
      </c>
      <c r="G22" s="8">
        <f t="shared" si="0"/>
        <v>6210</v>
      </c>
      <c r="H22" s="5">
        <v>13</v>
      </c>
      <c r="I22" s="5">
        <v>63</v>
      </c>
      <c r="J22" s="6">
        <f t="shared" si="2"/>
        <v>76</v>
      </c>
      <c r="K22" s="6">
        <f t="shared" si="1"/>
        <v>131</v>
      </c>
    </row>
    <row r="23" spans="1:14" x14ac:dyDescent="0.2">
      <c r="A23" s="2"/>
      <c r="B23" s="2"/>
      <c r="C23" s="2"/>
      <c r="D23" s="2"/>
      <c r="E23" s="3"/>
      <c r="F23" s="4"/>
      <c r="G23" s="8"/>
      <c r="H23" s="5"/>
      <c r="I23" s="5"/>
      <c r="J23" s="6"/>
      <c r="K23" s="6"/>
    </row>
    <row r="24" spans="1:14" x14ac:dyDescent="0.2">
      <c r="A24" s="2" t="s">
        <v>47</v>
      </c>
      <c r="B24" s="2" t="s">
        <v>48</v>
      </c>
      <c r="C24" s="2" t="s">
        <v>49</v>
      </c>
      <c r="D24" s="2" t="s">
        <v>49</v>
      </c>
      <c r="E24" s="3">
        <v>30</v>
      </c>
      <c r="F24" s="4">
        <v>1666</v>
      </c>
      <c r="G24" s="8">
        <f t="shared" ref="G24:G36" si="3">E24*F24</f>
        <v>49980</v>
      </c>
      <c r="H24" s="5">
        <v>3506</v>
      </c>
      <c r="I24" s="5">
        <v>502</v>
      </c>
      <c r="J24" s="6">
        <f t="shared" si="2"/>
        <v>4008</v>
      </c>
      <c r="K24" s="6">
        <f t="shared" ref="K24:K36" si="4">F24-J24</f>
        <v>-2342</v>
      </c>
    </row>
    <row r="25" spans="1:14" x14ac:dyDescent="0.2">
      <c r="A25" s="2"/>
      <c r="B25" s="2"/>
      <c r="C25" s="2"/>
      <c r="D25" s="2"/>
      <c r="E25" s="3"/>
      <c r="F25" s="4"/>
      <c r="G25" s="8"/>
      <c r="H25" s="5"/>
      <c r="I25" s="5"/>
      <c r="J25" s="6"/>
      <c r="K25" s="6"/>
    </row>
    <row r="26" spans="1:14" x14ac:dyDescent="0.2">
      <c r="A26" s="10" t="s">
        <v>50</v>
      </c>
      <c r="B26" s="10" t="s">
        <v>51</v>
      </c>
      <c r="C26" s="10" t="s">
        <v>52</v>
      </c>
      <c r="D26" s="10" t="s">
        <v>52</v>
      </c>
      <c r="E26" s="11">
        <v>10</v>
      </c>
      <c r="F26" s="12">
        <v>3750</v>
      </c>
      <c r="G26" s="13">
        <f t="shared" si="3"/>
        <v>37500</v>
      </c>
      <c r="H26" s="10">
        <v>0</v>
      </c>
      <c r="I26" s="10"/>
      <c r="J26" s="14">
        <f t="shared" si="2"/>
        <v>0</v>
      </c>
      <c r="K26" s="14">
        <f t="shared" si="4"/>
        <v>3750</v>
      </c>
      <c r="L26" s="22">
        <v>37500</v>
      </c>
      <c r="M26" s="23"/>
      <c r="N26" s="23"/>
    </row>
    <row r="27" spans="1:14" x14ac:dyDescent="0.2">
      <c r="A27" s="10" t="s">
        <v>50</v>
      </c>
      <c r="B27" s="10" t="s">
        <v>51</v>
      </c>
      <c r="C27" s="10" t="s">
        <v>53</v>
      </c>
      <c r="D27" s="10" t="s">
        <v>53</v>
      </c>
      <c r="E27" s="11">
        <v>10</v>
      </c>
      <c r="F27" s="12">
        <v>3360</v>
      </c>
      <c r="G27" s="13">
        <f t="shared" si="3"/>
        <v>33600</v>
      </c>
      <c r="H27" s="10">
        <v>2504</v>
      </c>
      <c r="I27" s="10">
        <v>2356</v>
      </c>
      <c r="J27" s="14">
        <f t="shared" si="2"/>
        <v>4860</v>
      </c>
      <c r="K27" s="14">
        <f t="shared" si="4"/>
        <v>-1500</v>
      </c>
      <c r="L27" s="22">
        <v>-15000</v>
      </c>
      <c r="M27" s="23"/>
      <c r="N27" s="23"/>
    </row>
    <row r="28" spans="1:14" x14ac:dyDescent="0.2">
      <c r="A28" s="10" t="s">
        <v>50</v>
      </c>
      <c r="B28" s="10" t="s">
        <v>51</v>
      </c>
      <c r="C28" s="10" t="s">
        <v>54</v>
      </c>
      <c r="D28" s="10" t="s">
        <v>54</v>
      </c>
      <c r="E28" s="11">
        <v>5</v>
      </c>
      <c r="F28" s="12">
        <v>840</v>
      </c>
      <c r="G28" s="13">
        <f t="shared" si="3"/>
        <v>4200</v>
      </c>
      <c r="H28" s="10">
        <v>28</v>
      </c>
      <c r="I28" s="10">
        <v>200</v>
      </c>
      <c r="J28" s="14">
        <f t="shared" si="2"/>
        <v>228</v>
      </c>
      <c r="K28" s="14">
        <f t="shared" si="4"/>
        <v>612</v>
      </c>
      <c r="L28" s="22">
        <v>3060</v>
      </c>
      <c r="M28" s="23"/>
      <c r="N28" s="23"/>
    </row>
    <row r="29" spans="1:14" x14ac:dyDescent="0.2">
      <c r="A29" s="10" t="s">
        <v>50</v>
      </c>
      <c r="B29" s="10" t="s">
        <v>51</v>
      </c>
      <c r="C29" s="10" t="s">
        <v>55</v>
      </c>
      <c r="D29" s="10" t="s">
        <v>55</v>
      </c>
      <c r="E29" s="11">
        <v>10</v>
      </c>
      <c r="F29" s="12">
        <v>1260</v>
      </c>
      <c r="G29" s="13">
        <f t="shared" si="3"/>
        <v>12600</v>
      </c>
      <c r="H29" s="10">
        <v>289</v>
      </c>
      <c r="I29" s="10">
        <v>200</v>
      </c>
      <c r="J29" s="14">
        <f t="shared" si="2"/>
        <v>489</v>
      </c>
      <c r="K29" s="14">
        <f t="shared" si="4"/>
        <v>771</v>
      </c>
      <c r="L29" s="22">
        <v>7710</v>
      </c>
      <c r="M29" s="23"/>
      <c r="N29" s="23"/>
    </row>
    <row r="30" spans="1:14" x14ac:dyDescent="0.2">
      <c r="A30" s="10" t="s">
        <v>50</v>
      </c>
      <c r="B30" s="10" t="s">
        <v>51</v>
      </c>
      <c r="C30" s="10" t="s">
        <v>56</v>
      </c>
      <c r="D30" s="10" t="s">
        <v>56</v>
      </c>
      <c r="E30" s="11">
        <v>10</v>
      </c>
      <c r="F30" s="12">
        <v>2100</v>
      </c>
      <c r="G30" s="13">
        <f t="shared" si="3"/>
        <v>21000</v>
      </c>
      <c r="H30" s="10">
        <v>666</v>
      </c>
      <c r="I30" s="10">
        <v>400</v>
      </c>
      <c r="J30" s="14">
        <f t="shared" si="2"/>
        <v>1066</v>
      </c>
      <c r="K30" s="14">
        <f t="shared" si="4"/>
        <v>1034</v>
      </c>
      <c r="L30" s="22">
        <v>10340</v>
      </c>
      <c r="M30" s="23"/>
      <c r="N30" s="23"/>
    </row>
    <row r="31" spans="1:14" x14ac:dyDescent="0.2">
      <c r="A31" s="10" t="s">
        <v>50</v>
      </c>
      <c r="B31" s="10" t="s">
        <v>51</v>
      </c>
      <c r="C31" s="10" t="s">
        <v>57</v>
      </c>
      <c r="D31" s="10" t="s">
        <v>57</v>
      </c>
      <c r="E31" s="11">
        <v>10</v>
      </c>
      <c r="F31" s="12">
        <v>21</v>
      </c>
      <c r="G31" s="13">
        <f t="shared" si="3"/>
        <v>210</v>
      </c>
      <c r="H31" s="10">
        <v>0</v>
      </c>
      <c r="I31" s="10"/>
      <c r="J31" s="14">
        <f t="shared" si="2"/>
        <v>0</v>
      </c>
      <c r="K31" s="14">
        <f t="shared" si="4"/>
        <v>21</v>
      </c>
      <c r="L31" s="22">
        <v>210</v>
      </c>
      <c r="M31" s="23"/>
      <c r="N31" s="23"/>
    </row>
    <row r="32" spans="1:14" x14ac:dyDescent="0.2">
      <c r="A32" s="10" t="s">
        <v>50</v>
      </c>
      <c r="B32" s="10" t="s">
        <v>51</v>
      </c>
      <c r="C32" s="10" t="s">
        <v>58</v>
      </c>
      <c r="D32" s="10" t="s">
        <v>58</v>
      </c>
      <c r="E32" s="11">
        <v>10</v>
      </c>
      <c r="F32" s="12">
        <v>21</v>
      </c>
      <c r="G32" s="13">
        <f t="shared" si="3"/>
        <v>210</v>
      </c>
      <c r="H32" s="10">
        <v>27</v>
      </c>
      <c r="I32" s="10"/>
      <c r="J32" s="14">
        <f t="shared" si="2"/>
        <v>27</v>
      </c>
      <c r="K32" s="14">
        <f t="shared" si="4"/>
        <v>-6</v>
      </c>
      <c r="L32" s="22">
        <v>-60</v>
      </c>
      <c r="M32" s="23"/>
      <c r="N32" s="23"/>
    </row>
    <row r="33" spans="1:14" x14ac:dyDescent="0.2">
      <c r="A33" s="10" t="s">
        <v>50</v>
      </c>
      <c r="B33" s="10" t="s">
        <v>51</v>
      </c>
      <c r="C33" s="10" t="s">
        <v>59</v>
      </c>
      <c r="D33" s="10" t="s">
        <v>59</v>
      </c>
      <c r="E33" s="11">
        <v>30</v>
      </c>
      <c r="F33" s="12">
        <v>315</v>
      </c>
      <c r="G33" s="13">
        <f t="shared" si="3"/>
        <v>9450</v>
      </c>
      <c r="H33" s="10">
        <v>592</v>
      </c>
      <c r="I33" s="10"/>
      <c r="J33" s="14">
        <f t="shared" si="2"/>
        <v>592</v>
      </c>
      <c r="K33" s="14">
        <f t="shared" si="4"/>
        <v>-277</v>
      </c>
      <c r="L33" s="22">
        <v>-8310</v>
      </c>
      <c r="M33" s="23"/>
      <c r="N33" s="23"/>
    </row>
    <row r="34" spans="1:14" x14ac:dyDescent="0.2">
      <c r="A34" s="10" t="s">
        <v>50</v>
      </c>
      <c r="B34" s="10" t="s">
        <v>51</v>
      </c>
      <c r="C34" s="10" t="s">
        <v>60</v>
      </c>
      <c r="D34" s="10" t="s">
        <v>60</v>
      </c>
      <c r="E34" s="11">
        <v>30</v>
      </c>
      <c r="F34" s="12">
        <v>126</v>
      </c>
      <c r="G34" s="13">
        <f t="shared" si="3"/>
        <v>3780</v>
      </c>
      <c r="H34" s="10">
        <v>23</v>
      </c>
      <c r="I34" s="10">
        <v>5</v>
      </c>
      <c r="J34" s="14">
        <f t="shared" si="2"/>
        <v>28</v>
      </c>
      <c r="K34" s="14">
        <f t="shared" si="4"/>
        <v>98</v>
      </c>
      <c r="L34" s="22">
        <v>2940</v>
      </c>
      <c r="M34" s="23"/>
      <c r="N34" s="23"/>
    </row>
    <row r="35" spans="1:14" x14ac:dyDescent="0.2">
      <c r="A35" s="10" t="s">
        <v>50</v>
      </c>
      <c r="B35" s="10" t="s">
        <v>51</v>
      </c>
      <c r="C35" s="10" t="s">
        <v>61</v>
      </c>
      <c r="D35" s="10" t="s">
        <v>61</v>
      </c>
      <c r="E35" s="11">
        <v>30</v>
      </c>
      <c r="F35" s="12">
        <v>126</v>
      </c>
      <c r="G35" s="13">
        <f t="shared" si="3"/>
        <v>3780</v>
      </c>
      <c r="H35" s="10">
        <v>64</v>
      </c>
      <c r="I35" s="10">
        <v>5</v>
      </c>
      <c r="J35" s="14">
        <f t="shared" si="2"/>
        <v>69</v>
      </c>
      <c r="K35" s="14">
        <f t="shared" si="4"/>
        <v>57</v>
      </c>
      <c r="L35" s="22">
        <v>1710</v>
      </c>
      <c r="M35" s="23"/>
      <c r="N35" s="23"/>
    </row>
    <row r="36" spans="1:14" x14ac:dyDescent="0.2">
      <c r="A36" s="10" t="s">
        <v>50</v>
      </c>
      <c r="B36" s="10" t="s">
        <v>51</v>
      </c>
      <c r="C36" s="10" t="s">
        <v>62</v>
      </c>
      <c r="D36" s="10" t="s">
        <v>62</v>
      </c>
      <c r="E36" s="11">
        <v>30</v>
      </c>
      <c r="F36" s="12">
        <v>420</v>
      </c>
      <c r="G36" s="13">
        <f t="shared" si="3"/>
        <v>12600</v>
      </c>
      <c r="H36" s="10">
        <v>395</v>
      </c>
      <c r="I36" s="10">
        <v>200</v>
      </c>
      <c r="J36" s="14">
        <f t="shared" si="2"/>
        <v>595</v>
      </c>
      <c r="K36" s="14">
        <f t="shared" si="4"/>
        <v>-175</v>
      </c>
      <c r="L36" s="22">
        <v>-5500</v>
      </c>
      <c r="M36" s="23"/>
      <c r="N36" s="23"/>
    </row>
    <row r="37" spans="1:14" x14ac:dyDescent="0.2">
      <c r="A37" s="10"/>
      <c r="B37" s="10"/>
      <c r="C37" s="10"/>
      <c r="D37" s="10"/>
      <c r="E37" s="11"/>
      <c r="F37" s="12"/>
      <c r="G37" s="13"/>
      <c r="H37" s="10"/>
      <c r="I37" s="10"/>
      <c r="J37" s="14"/>
      <c r="K37" s="14"/>
      <c r="L37" s="22"/>
      <c r="M37" s="23"/>
    </row>
    <row r="38" spans="1:14" x14ac:dyDescent="0.2">
      <c r="A38" s="16"/>
      <c r="B38" s="16"/>
      <c r="C38" s="16"/>
      <c r="D38" s="16"/>
      <c r="E38" s="17"/>
      <c r="F38" s="18"/>
      <c r="G38" s="19"/>
      <c r="H38" s="16"/>
      <c r="I38" s="16"/>
      <c r="J38" s="20"/>
      <c r="K38" s="20"/>
      <c r="L38" s="21"/>
    </row>
    <row r="39" spans="1:14" x14ac:dyDescent="0.2">
      <c r="A39" s="2" t="s">
        <v>63</v>
      </c>
      <c r="B39" s="2" t="s">
        <v>64</v>
      </c>
      <c r="C39" s="2" t="s">
        <v>52</v>
      </c>
      <c r="D39" s="2" t="s">
        <v>52</v>
      </c>
      <c r="E39" s="3">
        <v>10</v>
      </c>
      <c r="F39" s="4">
        <v>1630</v>
      </c>
      <c r="G39" s="8">
        <f t="shared" ref="G39:G49" si="5">E39*F39</f>
        <v>16300</v>
      </c>
      <c r="H39" s="5">
        <v>8840</v>
      </c>
      <c r="I39" s="5"/>
      <c r="J39" s="6">
        <f t="shared" si="2"/>
        <v>8840</v>
      </c>
      <c r="K39" s="6">
        <f t="shared" ref="K39:K49" si="6">F39-J39</f>
        <v>-7210</v>
      </c>
      <c r="L39" s="7">
        <v>-72100</v>
      </c>
    </row>
    <row r="40" spans="1:14" x14ac:dyDescent="0.2">
      <c r="A40" s="2" t="s">
        <v>63</v>
      </c>
      <c r="B40" s="2" t="s">
        <v>64</v>
      </c>
      <c r="C40" s="2" t="s">
        <v>53</v>
      </c>
      <c r="D40" s="2" t="s">
        <v>53</v>
      </c>
      <c r="E40" s="3">
        <v>10</v>
      </c>
      <c r="F40" s="4">
        <v>4238</v>
      </c>
      <c r="G40" s="8">
        <f t="shared" si="5"/>
        <v>42380</v>
      </c>
      <c r="H40" s="5">
        <v>1990</v>
      </c>
      <c r="I40" s="5"/>
      <c r="J40" s="6">
        <f t="shared" si="2"/>
        <v>1990</v>
      </c>
      <c r="K40" s="6">
        <f t="shared" si="6"/>
        <v>2248</v>
      </c>
      <c r="L40" s="7">
        <v>22480</v>
      </c>
    </row>
    <row r="41" spans="1:14" x14ac:dyDescent="0.2">
      <c r="A41" s="2" t="s">
        <v>63</v>
      </c>
      <c r="B41" s="2" t="s">
        <v>64</v>
      </c>
      <c r="C41" s="2" t="s">
        <v>54</v>
      </c>
      <c r="D41" s="2" t="s">
        <v>54</v>
      </c>
      <c r="E41" s="3">
        <v>5</v>
      </c>
      <c r="F41" s="4">
        <v>639</v>
      </c>
      <c r="G41" s="8">
        <f t="shared" si="5"/>
        <v>3195</v>
      </c>
      <c r="H41" s="5">
        <v>209</v>
      </c>
      <c r="I41" s="5"/>
      <c r="J41" s="6">
        <f t="shared" si="2"/>
        <v>209</v>
      </c>
      <c r="K41" s="6">
        <f t="shared" si="6"/>
        <v>430</v>
      </c>
      <c r="L41" s="7">
        <v>2105</v>
      </c>
    </row>
    <row r="42" spans="1:14" x14ac:dyDescent="0.2">
      <c r="A42" s="2" t="s">
        <v>63</v>
      </c>
      <c r="B42" s="2" t="s">
        <v>64</v>
      </c>
      <c r="C42" s="2" t="s">
        <v>55</v>
      </c>
      <c r="D42" s="2" t="s">
        <v>55</v>
      </c>
      <c r="E42" s="3">
        <v>10</v>
      </c>
      <c r="F42" s="4">
        <v>892</v>
      </c>
      <c r="G42" s="8">
        <f t="shared" si="5"/>
        <v>8920</v>
      </c>
      <c r="H42" s="5">
        <v>200</v>
      </c>
      <c r="I42" s="5"/>
      <c r="J42" s="6">
        <f t="shared" si="2"/>
        <v>200</v>
      </c>
      <c r="K42" s="6">
        <f t="shared" si="6"/>
        <v>692</v>
      </c>
      <c r="L42" s="7">
        <v>6920</v>
      </c>
    </row>
    <row r="43" spans="1:14" x14ac:dyDescent="0.2">
      <c r="A43" s="2" t="s">
        <v>63</v>
      </c>
      <c r="B43" s="2" t="s">
        <v>64</v>
      </c>
      <c r="C43" s="2" t="s">
        <v>56</v>
      </c>
      <c r="D43" s="2" t="s">
        <v>56</v>
      </c>
      <c r="E43" s="3">
        <v>10</v>
      </c>
      <c r="F43" s="4">
        <v>827</v>
      </c>
      <c r="G43" s="8">
        <f t="shared" si="5"/>
        <v>8270</v>
      </c>
      <c r="H43" s="5">
        <v>200</v>
      </c>
      <c r="I43" s="5"/>
      <c r="J43" s="6">
        <f t="shared" si="2"/>
        <v>200</v>
      </c>
      <c r="K43" s="6">
        <f t="shared" si="6"/>
        <v>627</v>
      </c>
      <c r="L43" s="7">
        <v>6270</v>
      </c>
    </row>
    <row r="44" spans="1:14" x14ac:dyDescent="0.2">
      <c r="A44" s="2" t="s">
        <v>63</v>
      </c>
      <c r="B44" s="2" t="s">
        <v>64</v>
      </c>
      <c r="C44" s="2" t="s">
        <v>57</v>
      </c>
      <c r="D44" s="2" t="s">
        <v>57</v>
      </c>
      <c r="E44" s="3">
        <v>10</v>
      </c>
      <c r="F44" s="4">
        <v>64</v>
      </c>
      <c r="G44" s="8">
        <f t="shared" si="5"/>
        <v>640</v>
      </c>
      <c r="H44" s="5">
        <v>0</v>
      </c>
      <c r="I44" s="5"/>
      <c r="J44" s="6">
        <f t="shared" si="2"/>
        <v>0</v>
      </c>
      <c r="K44" s="6">
        <f t="shared" si="6"/>
        <v>64</v>
      </c>
      <c r="L44" s="7">
        <v>640</v>
      </c>
    </row>
    <row r="45" spans="1:14" x14ac:dyDescent="0.2">
      <c r="A45" s="2" t="s">
        <v>63</v>
      </c>
      <c r="B45" s="2" t="s">
        <v>64</v>
      </c>
      <c r="C45" s="2" t="s">
        <v>58</v>
      </c>
      <c r="D45" s="2" t="s">
        <v>58</v>
      </c>
      <c r="E45" s="3">
        <v>10</v>
      </c>
      <c r="F45" s="4">
        <v>250</v>
      </c>
      <c r="G45" s="8">
        <f t="shared" si="5"/>
        <v>2500</v>
      </c>
      <c r="H45" s="5">
        <v>0</v>
      </c>
      <c r="I45" s="5"/>
      <c r="J45" s="6">
        <f t="shared" si="2"/>
        <v>0</v>
      </c>
      <c r="K45" s="6">
        <f t="shared" si="6"/>
        <v>250</v>
      </c>
      <c r="L45" s="7">
        <v>2500</v>
      </c>
    </row>
    <row r="46" spans="1:14" x14ac:dyDescent="0.2">
      <c r="A46" s="2" t="s">
        <v>63</v>
      </c>
      <c r="B46" s="2" t="s">
        <v>64</v>
      </c>
      <c r="C46" s="2" t="s">
        <v>59</v>
      </c>
      <c r="D46" s="2" t="s">
        <v>59</v>
      </c>
      <c r="E46" s="3">
        <v>30</v>
      </c>
      <c r="F46" s="4">
        <v>513</v>
      </c>
      <c r="G46" s="8">
        <f t="shared" si="5"/>
        <v>15390</v>
      </c>
      <c r="H46" s="5">
        <v>100</v>
      </c>
      <c r="I46" s="5"/>
      <c r="J46" s="6">
        <f t="shared" si="2"/>
        <v>100</v>
      </c>
      <c r="K46" s="6">
        <f t="shared" si="6"/>
        <v>413</v>
      </c>
      <c r="L46" s="7">
        <v>12390</v>
      </c>
    </row>
    <row r="47" spans="1:14" x14ac:dyDescent="0.2">
      <c r="A47" s="2" t="s">
        <v>63</v>
      </c>
      <c r="B47" s="2" t="s">
        <v>64</v>
      </c>
      <c r="C47" s="2" t="s">
        <v>60</v>
      </c>
      <c r="D47" s="2" t="s">
        <v>60</v>
      </c>
      <c r="E47" s="3">
        <v>30</v>
      </c>
      <c r="F47" s="4">
        <v>125</v>
      </c>
      <c r="G47" s="8">
        <f t="shared" si="5"/>
        <v>3750</v>
      </c>
      <c r="H47" s="5">
        <v>40</v>
      </c>
      <c r="I47" s="5"/>
      <c r="J47" s="6">
        <f t="shared" si="2"/>
        <v>40</v>
      </c>
      <c r="K47" s="6">
        <f t="shared" si="6"/>
        <v>85</v>
      </c>
      <c r="L47" s="7">
        <v>3400</v>
      </c>
    </row>
    <row r="48" spans="1:14" x14ac:dyDescent="0.2">
      <c r="A48" s="2" t="s">
        <v>63</v>
      </c>
      <c r="B48" s="2" t="s">
        <v>64</v>
      </c>
      <c r="C48" s="2" t="s">
        <v>61</v>
      </c>
      <c r="D48" s="2" t="s">
        <v>61</v>
      </c>
      <c r="E48" s="3">
        <v>30</v>
      </c>
      <c r="F48" s="4">
        <v>87</v>
      </c>
      <c r="G48" s="8">
        <f t="shared" si="5"/>
        <v>2610</v>
      </c>
      <c r="H48" s="5">
        <v>0</v>
      </c>
      <c r="I48" s="5"/>
      <c r="J48" s="6">
        <f t="shared" si="2"/>
        <v>0</v>
      </c>
      <c r="K48" s="6">
        <f t="shared" si="6"/>
        <v>87</v>
      </c>
      <c r="L48" s="7">
        <v>2610</v>
      </c>
    </row>
    <row r="49" spans="1:12" x14ac:dyDescent="0.2">
      <c r="A49" s="2" t="s">
        <v>63</v>
      </c>
      <c r="B49" s="2" t="s">
        <v>64</v>
      </c>
      <c r="C49" s="2" t="s">
        <v>62</v>
      </c>
      <c r="D49" s="2" t="s">
        <v>62</v>
      </c>
      <c r="E49" s="3">
        <v>30</v>
      </c>
      <c r="F49" s="4">
        <v>431</v>
      </c>
      <c r="G49" s="8">
        <f t="shared" si="5"/>
        <v>12930</v>
      </c>
      <c r="H49" s="5">
        <v>0</v>
      </c>
      <c r="I49" s="5"/>
      <c r="J49" s="6">
        <f t="shared" si="2"/>
        <v>0</v>
      </c>
      <c r="K49" s="6">
        <f t="shared" si="6"/>
        <v>431</v>
      </c>
      <c r="L49" s="7">
        <v>12930</v>
      </c>
    </row>
    <row r="50" spans="1:12" x14ac:dyDescent="0.2">
      <c r="L50" s="9">
        <v>-145</v>
      </c>
    </row>
  </sheetData>
  <conditionalFormatting sqref="H3:I49">
    <cfRule type="cellIs" dxfId="3" priority="1" operator="lessThan">
      <formula>0</formula>
    </cfRule>
  </conditionalFormatting>
  <conditionalFormatting sqref="K3:K49">
    <cfRule type="cellIs" dxfId="2" priority="2" operator="lessThan">
      <formula>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8DFF-DED6-4DBA-9F2D-58CF663A2F46}">
  <dimension ref="A1:L50"/>
  <sheetViews>
    <sheetView showGridLines="0" zoomScaleNormal="100" workbookViewId="0">
      <pane ySplit="1" topLeftCell="A2" activePane="bottomLeft" state="frozen"/>
      <selection pane="bottomLeft" activeCell="D17" sqref="D17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16.140625" bestFit="1" customWidth="1"/>
    <col min="4" max="4" width="33" customWidth="1"/>
    <col min="5" max="10" width="14.28515625" customWidth="1"/>
    <col min="12" max="12" width="14.42578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2" t="s">
        <v>11</v>
      </c>
      <c r="B3" s="2" t="s">
        <v>12</v>
      </c>
      <c r="C3" s="2" t="s">
        <v>13</v>
      </c>
      <c r="D3" s="2" t="s">
        <v>14</v>
      </c>
      <c r="E3" s="3">
        <v>30</v>
      </c>
      <c r="F3" s="4">
        <v>333</v>
      </c>
      <c r="G3" s="8">
        <f t="shared" ref="G3:G22" si="0">E3*F3</f>
        <v>9990</v>
      </c>
      <c r="H3" s="5">
        <v>130</v>
      </c>
      <c r="I3" s="5">
        <v>32</v>
      </c>
      <c r="J3" s="6">
        <f>H3+I3</f>
        <v>162</v>
      </c>
      <c r="K3" s="6">
        <f t="shared" ref="K3:K22" si="1">F3-J3</f>
        <v>171</v>
      </c>
    </row>
    <row r="4" spans="1:11" x14ac:dyDescent="0.2">
      <c r="A4" s="2" t="s">
        <v>11</v>
      </c>
      <c r="B4" s="2" t="s">
        <v>12</v>
      </c>
      <c r="C4" s="2" t="s">
        <v>15</v>
      </c>
      <c r="D4" s="2" t="s">
        <v>14</v>
      </c>
      <c r="E4" s="3">
        <v>30</v>
      </c>
      <c r="F4" s="4">
        <v>1</v>
      </c>
      <c r="G4" s="8">
        <f t="shared" si="0"/>
        <v>30</v>
      </c>
      <c r="H4" s="5">
        <v>0</v>
      </c>
      <c r="I4" s="5"/>
      <c r="J4" s="6">
        <f t="shared" ref="J4:J49" si="2">H4+I4</f>
        <v>0</v>
      </c>
      <c r="K4" s="6">
        <f t="shared" si="1"/>
        <v>1</v>
      </c>
    </row>
    <row r="5" spans="1:11" x14ac:dyDescent="0.2">
      <c r="A5" s="2" t="s">
        <v>11</v>
      </c>
      <c r="B5" s="2" t="s">
        <v>12</v>
      </c>
      <c r="C5" s="2" t="s">
        <v>16</v>
      </c>
      <c r="D5" s="2" t="s">
        <v>17</v>
      </c>
      <c r="E5" s="3">
        <v>30</v>
      </c>
      <c r="F5" s="4">
        <v>194</v>
      </c>
      <c r="G5" s="8">
        <f t="shared" si="0"/>
        <v>5820</v>
      </c>
      <c r="H5" s="5">
        <v>79</v>
      </c>
      <c r="I5" s="5">
        <v>100</v>
      </c>
      <c r="J5" s="6">
        <f t="shared" si="2"/>
        <v>179</v>
      </c>
      <c r="K5" s="6">
        <f t="shared" si="1"/>
        <v>15</v>
      </c>
    </row>
    <row r="6" spans="1:11" x14ac:dyDescent="0.2">
      <c r="A6" s="2" t="s">
        <v>11</v>
      </c>
      <c r="B6" s="2" t="s">
        <v>12</v>
      </c>
      <c r="C6" s="2" t="s">
        <v>18</v>
      </c>
      <c r="D6" s="2" t="s">
        <v>17</v>
      </c>
      <c r="E6" s="3">
        <v>30</v>
      </c>
      <c r="F6" s="4">
        <v>1</v>
      </c>
      <c r="G6" s="8">
        <f t="shared" si="0"/>
        <v>30</v>
      </c>
      <c r="H6" s="5">
        <v>0</v>
      </c>
      <c r="I6" s="5"/>
      <c r="J6" s="6">
        <f t="shared" si="2"/>
        <v>0</v>
      </c>
      <c r="K6" s="6">
        <f t="shared" si="1"/>
        <v>1</v>
      </c>
    </row>
    <row r="7" spans="1:11" x14ac:dyDescent="0.2">
      <c r="A7" s="2" t="s">
        <v>11</v>
      </c>
      <c r="B7" s="2" t="s">
        <v>12</v>
      </c>
      <c r="C7" s="2" t="s">
        <v>19</v>
      </c>
      <c r="D7" s="2" t="s">
        <v>20</v>
      </c>
      <c r="E7" s="3">
        <v>30</v>
      </c>
      <c r="F7" s="4">
        <v>226</v>
      </c>
      <c r="G7" s="8">
        <f t="shared" si="0"/>
        <v>6780</v>
      </c>
      <c r="H7" s="5">
        <v>176</v>
      </c>
      <c r="I7" s="5">
        <v>32</v>
      </c>
      <c r="J7" s="6">
        <f t="shared" si="2"/>
        <v>208</v>
      </c>
      <c r="K7" s="6">
        <f t="shared" si="1"/>
        <v>18</v>
      </c>
    </row>
    <row r="8" spans="1:11" x14ac:dyDescent="0.2">
      <c r="A8" s="2" t="s">
        <v>11</v>
      </c>
      <c r="B8" s="2" t="s">
        <v>12</v>
      </c>
      <c r="C8" s="2" t="s">
        <v>21</v>
      </c>
      <c r="D8" s="2" t="s">
        <v>20</v>
      </c>
      <c r="E8" s="3">
        <v>30</v>
      </c>
      <c r="F8" s="4">
        <v>1</v>
      </c>
      <c r="G8" s="8">
        <f t="shared" si="0"/>
        <v>30</v>
      </c>
      <c r="H8" s="5">
        <v>0</v>
      </c>
      <c r="I8" s="5"/>
      <c r="J8" s="6">
        <f t="shared" si="2"/>
        <v>0</v>
      </c>
      <c r="K8" s="6">
        <f t="shared" si="1"/>
        <v>1</v>
      </c>
    </row>
    <row r="9" spans="1:11" x14ac:dyDescent="0.2">
      <c r="A9" s="2" t="s">
        <v>11</v>
      </c>
      <c r="B9" s="2" t="s">
        <v>12</v>
      </c>
      <c r="C9" s="2" t="s">
        <v>22</v>
      </c>
      <c r="D9" s="2" t="s">
        <v>23</v>
      </c>
      <c r="E9" s="3">
        <v>30</v>
      </c>
      <c r="F9" s="4">
        <v>121</v>
      </c>
      <c r="G9" s="8">
        <f t="shared" si="0"/>
        <v>3630</v>
      </c>
      <c r="H9" s="5">
        <v>24</v>
      </c>
      <c r="I9" s="5"/>
      <c r="J9" s="6">
        <f t="shared" si="2"/>
        <v>24</v>
      </c>
      <c r="K9" s="6">
        <f t="shared" si="1"/>
        <v>97</v>
      </c>
    </row>
    <row r="10" spans="1:11" x14ac:dyDescent="0.2">
      <c r="A10" s="2" t="s">
        <v>11</v>
      </c>
      <c r="B10" s="2" t="s">
        <v>12</v>
      </c>
      <c r="C10" s="2" t="s">
        <v>24</v>
      </c>
      <c r="D10" s="2" t="s">
        <v>25</v>
      </c>
      <c r="E10" s="3">
        <v>30</v>
      </c>
      <c r="F10" s="4">
        <v>95</v>
      </c>
      <c r="G10" s="8">
        <f t="shared" si="0"/>
        <v>2850</v>
      </c>
      <c r="H10" s="5">
        <v>66</v>
      </c>
      <c r="I10" s="5">
        <v>20</v>
      </c>
      <c r="J10" s="6">
        <f t="shared" si="2"/>
        <v>86</v>
      </c>
      <c r="K10" s="6">
        <f t="shared" si="1"/>
        <v>9</v>
      </c>
    </row>
    <row r="11" spans="1:11" x14ac:dyDescent="0.2">
      <c r="A11" s="2" t="s">
        <v>11</v>
      </c>
      <c r="B11" s="2" t="s">
        <v>12</v>
      </c>
      <c r="C11" s="2" t="s">
        <v>26</v>
      </c>
      <c r="D11" s="2" t="s">
        <v>27</v>
      </c>
      <c r="E11" s="3">
        <v>30</v>
      </c>
      <c r="F11" s="4">
        <v>181</v>
      </c>
      <c r="G11" s="8">
        <f t="shared" si="0"/>
        <v>5430</v>
      </c>
      <c r="H11" s="5">
        <v>65</v>
      </c>
      <c r="I11" s="5"/>
      <c r="J11" s="6">
        <f t="shared" si="2"/>
        <v>65</v>
      </c>
      <c r="K11" s="6">
        <f t="shared" si="1"/>
        <v>116</v>
      </c>
    </row>
    <row r="12" spans="1:11" x14ac:dyDescent="0.2">
      <c r="A12" s="2" t="s">
        <v>11</v>
      </c>
      <c r="B12" s="2" t="s">
        <v>12</v>
      </c>
      <c r="C12" s="2" t="s">
        <v>28</v>
      </c>
      <c r="D12" s="2" t="s">
        <v>29</v>
      </c>
      <c r="E12" s="3">
        <v>30</v>
      </c>
      <c r="F12" s="4">
        <v>96</v>
      </c>
      <c r="G12" s="8">
        <f t="shared" si="0"/>
        <v>2880</v>
      </c>
      <c r="H12" s="5">
        <v>8</v>
      </c>
      <c r="I12" s="5">
        <v>22</v>
      </c>
      <c r="J12" s="6">
        <f t="shared" si="2"/>
        <v>30</v>
      </c>
      <c r="K12" s="6">
        <f t="shared" si="1"/>
        <v>66</v>
      </c>
    </row>
    <row r="13" spans="1:11" x14ac:dyDescent="0.2">
      <c r="A13" s="2" t="s">
        <v>11</v>
      </c>
      <c r="B13" s="2" t="s">
        <v>12</v>
      </c>
      <c r="C13" s="2" t="s">
        <v>30</v>
      </c>
      <c r="D13" s="2" t="s">
        <v>29</v>
      </c>
      <c r="E13" s="3">
        <v>30</v>
      </c>
      <c r="F13" s="4">
        <v>1</v>
      </c>
      <c r="G13" s="8">
        <f t="shared" si="0"/>
        <v>30</v>
      </c>
      <c r="H13" s="5">
        <v>0</v>
      </c>
      <c r="I13" s="5"/>
      <c r="J13" s="6">
        <f t="shared" si="2"/>
        <v>0</v>
      </c>
      <c r="K13" s="6">
        <f t="shared" si="1"/>
        <v>1</v>
      </c>
    </row>
    <row r="14" spans="1:11" x14ac:dyDescent="0.2">
      <c r="A14" s="2" t="s">
        <v>11</v>
      </c>
      <c r="B14" s="2" t="s">
        <v>12</v>
      </c>
      <c r="C14" s="2" t="s">
        <v>31</v>
      </c>
      <c r="D14" s="2" t="s">
        <v>32</v>
      </c>
      <c r="E14" s="3">
        <v>30</v>
      </c>
      <c r="F14" s="4">
        <v>108</v>
      </c>
      <c r="G14" s="8">
        <f t="shared" si="0"/>
        <v>3240</v>
      </c>
      <c r="H14" s="5">
        <v>11</v>
      </c>
      <c r="I14" s="5">
        <v>22</v>
      </c>
      <c r="J14" s="6">
        <f t="shared" si="2"/>
        <v>33</v>
      </c>
      <c r="K14" s="6">
        <f t="shared" si="1"/>
        <v>75</v>
      </c>
    </row>
    <row r="15" spans="1:11" x14ac:dyDescent="0.2">
      <c r="A15" s="2" t="s">
        <v>11</v>
      </c>
      <c r="B15" s="2" t="s">
        <v>12</v>
      </c>
      <c r="C15" s="2" t="s">
        <v>33</v>
      </c>
      <c r="D15" s="2" t="s">
        <v>32</v>
      </c>
      <c r="E15" s="3">
        <v>30</v>
      </c>
      <c r="F15" s="4">
        <v>1</v>
      </c>
      <c r="G15" s="8">
        <f t="shared" si="0"/>
        <v>30</v>
      </c>
      <c r="H15" s="5">
        <v>0</v>
      </c>
      <c r="I15" s="5"/>
      <c r="J15" s="6">
        <f t="shared" si="2"/>
        <v>0</v>
      </c>
      <c r="K15" s="6">
        <f t="shared" si="1"/>
        <v>1</v>
      </c>
    </row>
    <row r="16" spans="1:11" x14ac:dyDescent="0.2">
      <c r="A16" s="2" t="s">
        <v>11</v>
      </c>
      <c r="B16" s="2" t="s">
        <v>12</v>
      </c>
      <c r="C16" s="2" t="s">
        <v>34</v>
      </c>
      <c r="D16" s="2" t="s">
        <v>35</v>
      </c>
      <c r="E16" s="3">
        <v>30</v>
      </c>
      <c r="F16" s="4">
        <v>136</v>
      </c>
      <c r="G16" s="8">
        <f t="shared" si="0"/>
        <v>4080</v>
      </c>
      <c r="H16" s="5">
        <v>8</v>
      </c>
      <c r="I16" s="5">
        <v>22</v>
      </c>
      <c r="J16" s="6">
        <f t="shared" si="2"/>
        <v>30</v>
      </c>
      <c r="K16" s="6">
        <f t="shared" si="1"/>
        <v>106</v>
      </c>
    </row>
    <row r="17" spans="1:12" x14ac:dyDescent="0.2">
      <c r="A17" s="2" t="s">
        <v>11</v>
      </c>
      <c r="B17" s="2" t="s">
        <v>12</v>
      </c>
      <c r="C17" s="2" t="s">
        <v>36</v>
      </c>
      <c r="D17" s="2" t="s">
        <v>35</v>
      </c>
      <c r="E17" s="3">
        <v>30</v>
      </c>
      <c r="F17" s="4">
        <v>1</v>
      </c>
      <c r="G17" s="8">
        <f t="shared" si="0"/>
        <v>30</v>
      </c>
      <c r="H17" s="5">
        <v>0</v>
      </c>
      <c r="I17" s="5"/>
      <c r="J17" s="6">
        <f t="shared" si="2"/>
        <v>0</v>
      </c>
      <c r="K17" s="6">
        <f t="shared" si="1"/>
        <v>1</v>
      </c>
    </row>
    <row r="18" spans="1:12" x14ac:dyDescent="0.2">
      <c r="A18" s="2" t="s">
        <v>11</v>
      </c>
      <c r="B18" s="2" t="s">
        <v>12</v>
      </c>
      <c r="C18" s="2" t="s">
        <v>37</v>
      </c>
      <c r="D18" s="2" t="s">
        <v>38</v>
      </c>
      <c r="E18" s="3">
        <v>30</v>
      </c>
      <c r="F18" s="4">
        <v>54</v>
      </c>
      <c r="G18" s="8">
        <f t="shared" si="0"/>
        <v>1620</v>
      </c>
      <c r="H18" s="5">
        <v>78</v>
      </c>
      <c r="I18" s="5"/>
      <c r="J18" s="6">
        <f t="shared" si="2"/>
        <v>78</v>
      </c>
      <c r="K18" s="6">
        <f t="shared" si="1"/>
        <v>-24</v>
      </c>
    </row>
    <row r="19" spans="1:12" x14ac:dyDescent="0.2">
      <c r="A19" s="2" t="s">
        <v>11</v>
      </c>
      <c r="B19" s="2" t="s">
        <v>12</v>
      </c>
      <c r="C19" s="2" t="s">
        <v>39</v>
      </c>
      <c r="D19" s="2" t="s">
        <v>40</v>
      </c>
      <c r="E19" s="3">
        <v>30</v>
      </c>
      <c r="F19" s="4">
        <v>210</v>
      </c>
      <c r="G19" s="8">
        <f t="shared" si="0"/>
        <v>6300</v>
      </c>
      <c r="H19" s="5">
        <v>44</v>
      </c>
      <c r="I19" s="5">
        <v>1</v>
      </c>
      <c r="J19" s="6">
        <f t="shared" si="2"/>
        <v>45</v>
      </c>
      <c r="K19" s="6">
        <f t="shared" si="1"/>
        <v>165</v>
      </c>
    </row>
    <row r="20" spans="1:12" x14ac:dyDescent="0.2">
      <c r="A20" s="2" t="s">
        <v>11</v>
      </c>
      <c r="B20" s="2" t="s">
        <v>12</v>
      </c>
      <c r="C20" s="2" t="s">
        <v>41</v>
      </c>
      <c r="D20" s="2" t="s">
        <v>42</v>
      </c>
      <c r="E20" s="3">
        <v>30</v>
      </c>
      <c r="F20" s="4">
        <v>286</v>
      </c>
      <c r="G20" s="8">
        <f t="shared" si="0"/>
        <v>8580</v>
      </c>
      <c r="H20" s="5">
        <v>34</v>
      </c>
      <c r="I20" s="5">
        <v>2</v>
      </c>
      <c r="J20" s="6">
        <f t="shared" si="2"/>
        <v>36</v>
      </c>
      <c r="K20" s="6">
        <f t="shared" si="1"/>
        <v>250</v>
      </c>
    </row>
    <row r="21" spans="1:12" x14ac:dyDescent="0.2">
      <c r="A21" s="2" t="s">
        <v>11</v>
      </c>
      <c r="B21" s="2" t="s">
        <v>12</v>
      </c>
      <c r="C21" s="2" t="s">
        <v>43</v>
      </c>
      <c r="D21" s="2" t="s">
        <v>44</v>
      </c>
      <c r="E21" s="3">
        <v>30</v>
      </c>
      <c r="F21" s="4">
        <v>205</v>
      </c>
      <c r="G21" s="8">
        <f t="shared" si="0"/>
        <v>6150</v>
      </c>
      <c r="H21" s="5">
        <v>101</v>
      </c>
      <c r="I21" s="5"/>
      <c r="J21" s="6">
        <f t="shared" si="2"/>
        <v>101</v>
      </c>
      <c r="K21" s="6">
        <f t="shared" si="1"/>
        <v>104</v>
      </c>
    </row>
    <row r="22" spans="1:12" x14ac:dyDescent="0.2">
      <c r="A22" s="2" t="s">
        <v>11</v>
      </c>
      <c r="B22" s="2" t="s">
        <v>12</v>
      </c>
      <c r="C22" s="2" t="s">
        <v>45</v>
      </c>
      <c r="D22" s="2" t="s">
        <v>46</v>
      </c>
      <c r="E22" s="3">
        <v>30</v>
      </c>
      <c r="F22" s="4">
        <v>207</v>
      </c>
      <c r="G22" s="8">
        <f t="shared" si="0"/>
        <v>6210</v>
      </c>
      <c r="H22" s="5">
        <v>13</v>
      </c>
      <c r="I22" s="5">
        <v>3</v>
      </c>
      <c r="J22" s="6">
        <f t="shared" si="2"/>
        <v>16</v>
      </c>
      <c r="K22" s="6">
        <f t="shared" si="1"/>
        <v>191</v>
      </c>
    </row>
    <row r="23" spans="1:12" x14ac:dyDescent="0.2">
      <c r="A23" s="2"/>
      <c r="B23" s="2"/>
      <c r="C23" s="2"/>
      <c r="D23" s="2"/>
      <c r="E23" s="3"/>
      <c r="F23" s="4"/>
      <c r="G23" s="8"/>
      <c r="H23" s="5"/>
      <c r="I23" s="5"/>
      <c r="J23" s="6"/>
      <c r="K23" s="6"/>
    </row>
    <row r="24" spans="1:12" x14ac:dyDescent="0.2">
      <c r="A24" s="2" t="s">
        <v>47</v>
      </c>
      <c r="B24" s="2" t="s">
        <v>48</v>
      </c>
      <c r="C24" s="2" t="s">
        <v>49</v>
      </c>
      <c r="D24" s="2" t="s">
        <v>49</v>
      </c>
      <c r="E24" s="3">
        <v>30</v>
      </c>
      <c r="F24" s="4">
        <v>1666</v>
      </c>
      <c r="G24" s="8">
        <f t="shared" ref="G24:G36" si="3">E24*F24</f>
        <v>49980</v>
      </c>
      <c r="H24" s="5">
        <v>3506</v>
      </c>
      <c r="I24" s="5">
        <v>502</v>
      </c>
      <c r="J24" s="6">
        <f t="shared" si="2"/>
        <v>4008</v>
      </c>
      <c r="K24" s="6">
        <f t="shared" ref="K24:K36" si="4">F24-J24</f>
        <v>-2342</v>
      </c>
    </row>
    <row r="25" spans="1:12" x14ac:dyDescent="0.2">
      <c r="A25" s="2"/>
      <c r="B25" s="2"/>
      <c r="C25" s="2"/>
      <c r="D25" s="2"/>
      <c r="E25" s="3"/>
      <c r="F25" s="4"/>
      <c r="G25" s="8"/>
      <c r="H25" s="5"/>
      <c r="I25" s="5"/>
      <c r="J25" s="6"/>
      <c r="K25" s="6"/>
    </row>
    <row r="26" spans="1:12" x14ac:dyDescent="0.2">
      <c r="A26" s="10" t="s">
        <v>50</v>
      </c>
      <c r="B26" s="10" t="s">
        <v>51</v>
      </c>
      <c r="C26" s="10" t="s">
        <v>52</v>
      </c>
      <c r="D26" s="10" t="s">
        <v>52</v>
      </c>
      <c r="E26" s="11">
        <v>10</v>
      </c>
      <c r="F26" s="12">
        <v>3750</v>
      </c>
      <c r="G26" s="13">
        <f t="shared" si="3"/>
        <v>37500</v>
      </c>
      <c r="H26" s="10">
        <v>0</v>
      </c>
      <c r="I26" s="10"/>
      <c r="J26" s="14">
        <f t="shared" si="2"/>
        <v>0</v>
      </c>
      <c r="K26" s="14">
        <f t="shared" si="4"/>
        <v>3750</v>
      </c>
      <c r="L26" s="22">
        <v>37500</v>
      </c>
    </row>
    <row r="27" spans="1:12" x14ac:dyDescent="0.2">
      <c r="A27" s="10" t="s">
        <v>50</v>
      </c>
      <c r="B27" s="10" t="s">
        <v>51</v>
      </c>
      <c r="C27" s="10" t="s">
        <v>53</v>
      </c>
      <c r="D27" s="10" t="s">
        <v>53</v>
      </c>
      <c r="E27" s="11">
        <v>10</v>
      </c>
      <c r="F27" s="12">
        <v>3360</v>
      </c>
      <c r="G27" s="13">
        <f t="shared" si="3"/>
        <v>33600</v>
      </c>
      <c r="H27" s="10">
        <v>2504</v>
      </c>
      <c r="I27" s="10">
        <v>730</v>
      </c>
      <c r="J27" s="14">
        <f t="shared" si="2"/>
        <v>3234</v>
      </c>
      <c r="K27" s="14">
        <f t="shared" si="4"/>
        <v>126</v>
      </c>
      <c r="L27" s="7">
        <v>126</v>
      </c>
    </row>
    <row r="28" spans="1:12" x14ac:dyDescent="0.2">
      <c r="A28" s="10" t="s">
        <v>50</v>
      </c>
      <c r="B28" s="10" t="s">
        <v>51</v>
      </c>
      <c r="C28" s="10" t="s">
        <v>54</v>
      </c>
      <c r="D28" s="10" t="s">
        <v>54</v>
      </c>
      <c r="E28" s="11">
        <v>5</v>
      </c>
      <c r="F28" s="12">
        <v>840</v>
      </c>
      <c r="G28" s="13">
        <f t="shared" si="3"/>
        <v>4200</v>
      </c>
      <c r="H28" s="10">
        <v>28</v>
      </c>
      <c r="I28" s="10"/>
      <c r="J28" s="14">
        <f t="shared" si="2"/>
        <v>28</v>
      </c>
      <c r="K28" s="14">
        <f t="shared" si="4"/>
        <v>812</v>
      </c>
      <c r="L28" s="7">
        <v>4060</v>
      </c>
    </row>
    <row r="29" spans="1:12" x14ac:dyDescent="0.2">
      <c r="A29" s="10" t="s">
        <v>50</v>
      </c>
      <c r="B29" s="10" t="s">
        <v>51</v>
      </c>
      <c r="C29" s="10" t="s">
        <v>55</v>
      </c>
      <c r="D29" s="10" t="s">
        <v>55</v>
      </c>
      <c r="E29" s="11">
        <v>10</v>
      </c>
      <c r="F29" s="12">
        <v>1260</v>
      </c>
      <c r="G29" s="13">
        <f t="shared" si="3"/>
        <v>12600</v>
      </c>
      <c r="H29" s="10">
        <v>289</v>
      </c>
      <c r="I29" s="10"/>
      <c r="J29" s="14">
        <f t="shared" si="2"/>
        <v>289</v>
      </c>
      <c r="K29" s="14">
        <f t="shared" si="4"/>
        <v>971</v>
      </c>
      <c r="L29" s="7">
        <v>9710</v>
      </c>
    </row>
    <row r="30" spans="1:12" x14ac:dyDescent="0.2">
      <c r="A30" s="10" t="s">
        <v>50</v>
      </c>
      <c r="B30" s="10" t="s">
        <v>51</v>
      </c>
      <c r="C30" s="10" t="s">
        <v>56</v>
      </c>
      <c r="D30" s="10" t="s">
        <v>56</v>
      </c>
      <c r="E30" s="11">
        <v>10</v>
      </c>
      <c r="F30" s="12">
        <v>2100</v>
      </c>
      <c r="G30" s="13">
        <f t="shared" si="3"/>
        <v>21000</v>
      </c>
      <c r="H30" s="10">
        <v>666</v>
      </c>
      <c r="I30" s="10"/>
      <c r="J30" s="14">
        <f t="shared" si="2"/>
        <v>666</v>
      </c>
      <c r="K30" s="14">
        <f t="shared" si="4"/>
        <v>1434</v>
      </c>
      <c r="L30" s="7">
        <v>14340</v>
      </c>
    </row>
    <row r="31" spans="1:12" x14ac:dyDescent="0.2">
      <c r="A31" s="10" t="s">
        <v>50</v>
      </c>
      <c r="B31" s="10" t="s">
        <v>51</v>
      </c>
      <c r="C31" s="10" t="s">
        <v>57</v>
      </c>
      <c r="D31" s="10" t="s">
        <v>57</v>
      </c>
      <c r="E31" s="11">
        <v>10</v>
      </c>
      <c r="F31" s="12">
        <v>21</v>
      </c>
      <c r="G31" s="13">
        <f t="shared" si="3"/>
        <v>210</v>
      </c>
      <c r="H31" s="10">
        <v>0</v>
      </c>
      <c r="I31" s="10"/>
      <c r="J31" s="14">
        <f t="shared" si="2"/>
        <v>0</v>
      </c>
      <c r="K31" s="14">
        <f t="shared" si="4"/>
        <v>21</v>
      </c>
      <c r="L31" s="7">
        <v>210</v>
      </c>
    </row>
    <row r="32" spans="1:12" x14ac:dyDescent="0.2">
      <c r="A32" s="10" t="s">
        <v>50</v>
      </c>
      <c r="B32" s="10" t="s">
        <v>51</v>
      </c>
      <c r="C32" s="10" t="s">
        <v>58</v>
      </c>
      <c r="D32" s="10" t="s">
        <v>58</v>
      </c>
      <c r="E32" s="11">
        <v>10</v>
      </c>
      <c r="F32" s="12">
        <v>21</v>
      </c>
      <c r="G32" s="13">
        <f t="shared" si="3"/>
        <v>210</v>
      </c>
      <c r="H32" s="10">
        <v>27</v>
      </c>
      <c r="I32" s="10"/>
      <c r="J32" s="14">
        <f t="shared" si="2"/>
        <v>27</v>
      </c>
      <c r="K32" s="14">
        <f t="shared" si="4"/>
        <v>-6</v>
      </c>
      <c r="L32" s="7">
        <v>-60</v>
      </c>
    </row>
    <row r="33" spans="1:12" x14ac:dyDescent="0.2">
      <c r="A33" s="10" t="s">
        <v>50</v>
      </c>
      <c r="B33" s="10" t="s">
        <v>51</v>
      </c>
      <c r="C33" s="10" t="s">
        <v>59</v>
      </c>
      <c r="D33" s="10" t="s">
        <v>59</v>
      </c>
      <c r="E33" s="11">
        <v>30</v>
      </c>
      <c r="F33" s="12">
        <v>315</v>
      </c>
      <c r="G33" s="13">
        <f t="shared" si="3"/>
        <v>9450</v>
      </c>
      <c r="H33" s="10">
        <v>592</v>
      </c>
      <c r="I33" s="10"/>
      <c r="J33" s="14">
        <f t="shared" si="2"/>
        <v>592</v>
      </c>
      <c r="K33" s="14">
        <f t="shared" si="4"/>
        <v>-277</v>
      </c>
      <c r="L33" s="7">
        <v>-7230</v>
      </c>
    </row>
    <row r="34" spans="1:12" x14ac:dyDescent="0.2">
      <c r="A34" s="10" t="s">
        <v>50</v>
      </c>
      <c r="B34" s="10" t="s">
        <v>51</v>
      </c>
      <c r="C34" s="10" t="s">
        <v>60</v>
      </c>
      <c r="D34" s="10" t="s">
        <v>60</v>
      </c>
      <c r="E34" s="11">
        <v>30</v>
      </c>
      <c r="F34" s="12">
        <v>126</v>
      </c>
      <c r="G34" s="13">
        <f t="shared" si="3"/>
        <v>3780</v>
      </c>
      <c r="H34" s="10">
        <v>23</v>
      </c>
      <c r="I34" s="10">
        <v>5</v>
      </c>
      <c r="J34" s="14">
        <f t="shared" si="2"/>
        <v>28</v>
      </c>
      <c r="K34" s="14">
        <f t="shared" si="4"/>
        <v>98</v>
      </c>
      <c r="L34" s="7">
        <v>3090</v>
      </c>
    </row>
    <row r="35" spans="1:12" x14ac:dyDescent="0.2">
      <c r="A35" s="10" t="s">
        <v>50</v>
      </c>
      <c r="B35" s="10" t="s">
        <v>51</v>
      </c>
      <c r="C35" s="10" t="s">
        <v>61</v>
      </c>
      <c r="D35" s="10" t="s">
        <v>61</v>
      </c>
      <c r="E35" s="11">
        <v>30</v>
      </c>
      <c r="F35" s="12">
        <v>126</v>
      </c>
      <c r="G35" s="13">
        <f t="shared" si="3"/>
        <v>3780</v>
      </c>
      <c r="H35" s="10">
        <v>64</v>
      </c>
      <c r="I35" s="10">
        <v>5</v>
      </c>
      <c r="J35" s="14">
        <f t="shared" si="2"/>
        <v>69</v>
      </c>
      <c r="K35" s="14">
        <f t="shared" si="4"/>
        <v>57</v>
      </c>
      <c r="L35" s="7">
        <v>1860</v>
      </c>
    </row>
    <row r="36" spans="1:12" x14ac:dyDescent="0.2">
      <c r="A36" s="10" t="s">
        <v>50</v>
      </c>
      <c r="B36" s="10" t="s">
        <v>51</v>
      </c>
      <c r="C36" s="10" t="s">
        <v>62</v>
      </c>
      <c r="D36" s="10" t="s">
        <v>62</v>
      </c>
      <c r="E36" s="11">
        <v>30</v>
      </c>
      <c r="F36" s="12">
        <v>420</v>
      </c>
      <c r="G36" s="13">
        <f t="shared" si="3"/>
        <v>12600</v>
      </c>
      <c r="H36" s="10">
        <v>395</v>
      </c>
      <c r="I36" s="10"/>
      <c r="J36" s="14">
        <f t="shared" si="2"/>
        <v>395</v>
      </c>
      <c r="K36" s="14">
        <f t="shared" si="4"/>
        <v>25</v>
      </c>
      <c r="L36" s="7">
        <v>750</v>
      </c>
    </row>
    <row r="37" spans="1:12" x14ac:dyDescent="0.2">
      <c r="A37" s="10"/>
      <c r="B37" s="10"/>
      <c r="C37" s="10"/>
      <c r="D37" s="10"/>
      <c r="E37" s="11"/>
      <c r="F37" s="12"/>
      <c r="G37" s="13"/>
      <c r="H37" s="10"/>
      <c r="I37" s="10"/>
      <c r="J37" s="14"/>
      <c r="K37" s="14"/>
      <c r="L37" s="15">
        <v>64356</v>
      </c>
    </row>
    <row r="38" spans="1:12" x14ac:dyDescent="0.2">
      <c r="A38" s="16"/>
      <c r="B38" s="16"/>
      <c r="C38" s="16"/>
      <c r="D38" s="16"/>
      <c r="E38" s="17"/>
      <c r="F38" s="18"/>
      <c r="G38" s="19"/>
      <c r="H38" s="16"/>
      <c r="I38" s="16"/>
      <c r="J38" s="20"/>
      <c r="K38" s="20"/>
      <c r="L38" s="21"/>
    </row>
    <row r="39" spans="1:12" x14ac:dyDescent="0.2">
      <c r="A39" s="2" t="s">
        <v>63</v>
      </c>
      <c r="B39" s="2" t="s">
        <v>64</v>
      </c>
      <c r="C39" s="2" t="s">
        <v>52</v>
      </c>
      <c r="D39" s="2" t="s">
        <v>52</v>
      </c>
      <c r="E39" s="3">
        <v>10</v>
      </c>
      <c r="F39" s="4">
        <v>1630</v>
      </c>
      <c r="G39" s="8">
        <f t="shared" ref="G39:G49" si="5">E39*F39</f>
        <v>16300</v>
      </c>
      <c r="H39" s="5">
        <v>8840</v>
      </c>
      <c r="I39" s="5"/>
      <c r="J39" s="6">
        <f t="shared" si="2"/>
        <v>8840</v>
      </c>
      <c r="K39" s="6">
        <f t="shared" ref="K39:K49" si="6">F39-J39</f>
        <v>-7210</v>
      </c>
      <c r="L39" s="7">
        <v>-72100</v>
      </c>
    </row>
    <row r="40" spans="1:12" x14ac:dyDescent="0.2">
      <c r="A40" s="2" t="s">
        <v>63</v>
      </c>
      <c r="B40" s="2" t="s">
        <v>64</v>
      </c>
      <c r="C40" s="2" t="s">
        <v>53</v>
      </c>
      <c r="D40" s="2" t="s">
        <v>53</v>
      </c>
      <c r="E40" s="3">
        <v>10</v>
      </c>
      <c r="F40" s="4">
        <v>4238</v>
      </c>
      <c r="G40" s="8">
        <f t="shared" si="5"/>
        <v>42380</v>
      </c>
      <c r="H40" s="5">
        <v>1990</v>
      </c>
      <c r="I40" s="5"/>
      <c r="J40" s="6">
        <f t="shared" si="2"/>
        <v>1990</v>
      </c>
      <c r="K40" s="6">
        <f t="shared" si="6"/>
        <v>2248</v>
      </c>
      <c r="L40" s="7">
        <v>22480</v>
      </c>
    </row>
    <row r="41" spans="1:12" x14ac:dyDescent="0.2">
      <c r="A41" s="2" t="s">
        <v>63</v>
      </c>
      <c r="B41" s="2" t="s">
        <v>64</v>
      </c>
      <c r="C41" s="2" t="s">
        <v>54</v>
      </c>
      <c r="D41" s="2" t="s">
        <v>54</v>
      </c>
      <c r="E41" s="3">
        <v>5</v>
      </c>
      <c r="F41" s="4">
        <v>639</v>
      </c>
      <c r="G41" s="8">
        <f t="shared" si="5"/>
        <v>3195</v>
      </c>
      <c r="H41" s="5">
        <v>209</v>
      </c>
      <c r="I41" s="5"/>
      <c r="J41" s="6">
        <f t="shared" si="2"/>
        <v>209</v>
      </c>
      <c r="K41" s="6">
        <f t="shared" si="6"/>
        <v>430</v>
      </c>
      <c r="L41" s="7">
        <v>2105</v>
      </c>
    </row>
    <row r="42" spans="1:12" x14ac:dyDescent="0.2">
      <c r="A42" s="2" t="s">
        <v>63</v>
      </c>
      <c r="B42" s="2" t="s">
        <v>64</v>
      </c>
      <c r="C42" s="2" t="s">
        <v>55</v>
      </c>
      <c r="D42" s="2" t="s">
        <v>55</v>
      </c>
      <c r="E42" s="3">
        <v>10</v>
      </c>
      <c r="F42" s="4">
        <v>892</v>
      </c>
      <c r="G42" s="8">
        <f t="shared" si="5"/>
        <v>8920</v>
      </c>
      <c r="H42" s="5">
        <v>200</v>
      </c>
      <c r="I42" s="5"/>
      <c r="J42" s="6">
        <f t="shared" si="2"/>
        <v>200</v>
      </c>
      <c r="K42" s="6">
        <f t="shared" si="6"/>
        <v>692</v>
      </c>
      <c r="L42" s="7">
        <v>6920</v>
      </c>
    </row>
    <row r="43" spans="1:12" x14ac:dyDescent="0.2">
      <c r="A43" s="2" t="s">
        <v>63</v>
      </c>
      <c r="B43" s="2" t="s">
        <v>64</v>
      </c>
      <c r="C43" s="2" t="s">
        <v>56</v>
      </c>
      <c r="D43" s="2" t="s">
        <v>56</v>
      </c>
      <c r="E43" s="3">
        <v>10</v>
      </c>
      <c r="F43" s="4">
        <v>827</v>
      </c>
      <c r="G43" s="8">
        <f t="shared" si="5"/>
        <v>8270</v>
      </c>
      <c r="H43" s="5">
        <v>200</v>
      </c>
      <c r="I43" s="5"/>
      <c r="J43" s="6">
        <f t="shared" si="2"/>
        <v>200</v>
      </c>
      <c r="K43" s="6">
        <f t="shared" si="6"/>
        <v>627</v>
      </c>
      <c r="L43" s="7">
        <v>6270</v>
      </c>
    </row>
    <row r="44" spans="1:12" x14ac:dyDescent="0.2">
      <c r="A44" s="2" t="s">
        <v>63</v>
      </c>
      <c r="B44" s="2" t="s">
        <v>64</v>
      </c>
      <c r="C44" s="2" t="s">
        <v>57</v>
      </c>
      <c r="D44" s="2" t="s">
        <v>57</v>
      </c>
      <c r="E44" s="3">
        <v>10</v>
      </c>
      <c r="F44" s="4">
        <v>64</v>
      </c>
      <c r="G44" s="8">
        <f t="shared" si="5"/>
        <v>640</v>
      </c>
      <c r="H44" s="5">
        <v>0</v>
      </c>
      <c r="I44" s="5"/>
      <c r="J44" s="6">
        <f t="shared" si="2"/>
        <v>0</v>
      </c>
      <c r="K44" s="6">
        <f t="shared" si="6"/>
        <v>64</v>
      </c>
      <c r="L44" s="7">
        <v>640</v>
      </c>
    </row>
    <row r="45" spans="1:12" x14ac:dyDescent="0.2">
      <c r="A45" s="2" t="s">
        <v>63</v>
      </c>
      <c r="B45" s="2" t="s">
        <v>64</v>
      </c>
      <c r="C45" s="2" t="s">
        <v>58</v>
      </c>
      <c r="D45" s="2" t="s">
        <v>58</v>
      </c>
      <c r="E45" s="3">
        <v>10</v>
      </c>
      <c r="F45" s="4">
        <v>250</v>
      </c>
      <c r="G45" s="8">
        <f t="shared" si="5"/>
        <v>2500</v>
      </c>
      <c r="H45" s="5">
        <v>0</v>
      </c>
      <c r="I45" s="5"/>
      <c r="J45" s="6">
        <f t="shared" si="2"/>
        <v>0</v>
      </c>
      <c r="K45" s="6">
        <f t="shared" si="6"/>
        <v>250</v>
      </c>
      <c r="L45" s="7">
        <v>2500</v>
      </c>
    </row>
    <row r="46" spans="1:12" x14ac:dyDescent="0.2">
      <c r="A46" s="2" t="s">
        <v>63</v>
      </c>
      <c r="B46" s="2" t="s">
        <v>64</v>
      </c>
      <c r="C46" s="2" t="s">
        <v>59</v>
      </c>
      <c r="D46" s="2" t="s">
        <v>59</v>
      </c>
      <c r="E46" s="3">
        <v>30</v>
      </c>
      <c r="F46" s="4">
        <v>513</v>
      </c>
      <c r="G46" s="8">
        <f t="shared" si="5"/>
        <v>15390</v>
      </c>
      <c r="H46" s="5">
        <v>100</v>
      </c>
      <c r="I46" s="5"/>
      <c r="J46" s="6">
        <f t="shared" si="2"/>
        <v>100</v>
      </c>
      <c r="K46" s="6">
        <f t="shared" si="6"/>
        <v>413</v>
      </c>
      <c r="L46" s="7">
        <v>12390</v>
      </c>
    </row>
    <row r="47" spans="1:12" x14ac:dyDescent="0.2">
      <c r="A47" s="2" t="s">
        <v>63</v>
      </c>
      <c r="B47" s="2" t="s">
        <v>64</v>
      </c>
      <c r="C47" s="2" t="s">
        <v>60</v>
      </c>
      <c r="D47" s="2" t="s">
        <v>60</v>
      </c>
      <c r="E47" s="3">
        <v>30</v>
      </c>
      <c r="F47" s="4">
        <v>125</v>
      </c>
      <c r="G47" s="8">
        <f t="shared" si="5"/>
        <v>3750</v>
      </c>
      <c r="H47" s="5">
        <v>40</v>
      </c>
      <c r="I47" s="5"/>
      <c r="J47" s="6">
        <f t="shared" si="2"/>
        <v>40</v>
      </c>
      <c r="K47" s="6">
        <f t="shared" si="6"/>
        <v>85</v>
      </c>
      <c r="L47" s="7">
        <v>3400</v>
      </c>
    </row>
    <row r="48" spans="1:12" x14ac:dyDescent="0.2">
      <c r="A48" s="2" t="s">
        <v>63</v>
      </c>
      <c r="B48" s="2" t="s">
        <v>64</v>
      </c>
      <c r="C48" s="2" t="s">
        <v>61</v>
      </c>
      <c r="D48" s="2" t="s">
        <v>61</v>
      </c>
      <c r="E48" s="3">
        <v>30</v>
      </c>
      <c r="F48" s="4">
        <v>87</v>
      </c>
      <c r="G48" s="8">
        <f t="shared" si="5"/>
        <v>2610</v>
      </c>
      <c r="H48" s="5">
        <v>0</v>
      </c>
      <c r="I48" s="5"/>
      <c r="J48" s="6">
        <f t="shared" si="2"/>
        <v>0</v>
      </c>
      <c r="K48" s="6">
        <f t="shared" si="6"/>
        <v>87</v>
      </c>
      <c r="L48" s="7">
        <v>2610</v>
      </c>
    </row>
    <row r="49" spans="1:12" x14ac:dyDescent="0.2">
      <c r="A49" s="2" t="s">
        <v>63</v>
      </c>
      <c r="B49" s="2" t="s">
        <v>64</v>
      </c>
      <c r="C49" s="2" t="s">
        <v>62</v>
      </c>
      <c r="D49" s="2" t="s">
        <v>62</v>
      </c>
      <c r="E49" s="3">
        <v>30</v>
      </c>
      <c r="F49" s="4">
        <v>431</v>
      </c>
      <c r="G49" s="8">
        <f t="shared" si="5"/>
        <v>12930</v>
      </c>
      <c r="H49" s="5">
        <v>0</v>
      </c>
      <c r="I49" s="5"/>
      <c r="J49" s="6">
        <f t="shared" si="2"/>
        <v>0</v>
      </c>
      <c r="K49" s="6">
        <f t="shared" si="6"/>
        <v>431</v>
      </c>
      <c r="L49" s="7">
        <v>12930</v>
      </c>
    </row>
    <row r="50" spans="1:12" x14ac:dyDescent="0.2">
      <c r="L50" s="9">
        <v>-145</v>
      </c>
    </row>
  </sheetData>
  <conditionalFormatting sqref="H3:I49">
    <cfRule type="cellIs" dxfId="1" priority="1" operator="lessThan">
      <formula>0</formula>
    </cfRule>
  </conditionalFormatting>
  <conditionalFormatting sqref="K3:K49">
    <cfRule type="cellIs" dxfId="0" priority="2" operator="lessThan">
      <formula>0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 of today</vt:lpstr>
      <vt:lpstr>FINAL SURVEY</vt:lpstr>
      <vt:lpstr>TOTAL CLOSEOUT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2025-07-18T21:56:20Z</dcterms:modified>
  <cp:category/>
  <cp:contentStatus/>
</cp:coreProperties>
</file>