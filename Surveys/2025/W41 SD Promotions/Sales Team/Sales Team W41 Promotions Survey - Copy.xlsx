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41 SD Promotions\Sales Team\"/>
    </mc:Choice>
  </mc:AlternateContent>
  <xr:revisionPtr revIDLastSave="0" documentId="13_ncr:1_{37A51F43-4497-4288-835C-3A01262FFC52}" xr6:coauthVersionLast="47" xr6:coauthVersionMax="47" xr10:uidLastSave="{00000000-0000-0000-0000-000000000000}"/>
  <bookViews>
    <workbookView xWindow="-19320" yWindow="-120" windowWidth="19440" windowHeight="10320" xr2:uid="{00000000-000D-0000-FFFF-FFFF00000000}"/>
  </bookViews>
  <sheets>
    <sheet name="As of now" sheetId="1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4" l="1"/>
  <c r="G9" i="14"/>
  <c r="G8" i="14"/>
  <c r="G7" i="14"/>
  <c r="G6" i="14"/>
  <c r="G5" i="14"/>
  <c r="G4" i="14"/>
  <c r="G3" i="14"/>
  <c r="G2" i="14"/>
  <c r="R2" i="14" l="1"/>
  <c r="K10" i="14"/>
  <c r="M10" i="14" s="1"/>
  <c r="K9" i="14"/>
  <c r="L9" i="14" s="1"/>
  <c r="K8" i="14"/>
  <c r="L8" i="14" s="1"/>
  <c r="K7" i="14"/>
  <c r="L7" i="14" s="1"/>
  <c r="K6" i="14"/>
  <c r="M6" i="14" s="1"/>
  <c r="K5" i="14"/>
  <c r="L5" i="14" s="1"/>
  <c r="K4" i="14"/>
  <c r="L4" i="14" s="1"/>
  <c r="K3" i="14"/>
  <c r="M3" i="14" s="1"/>
  <c r="K2" i="14"/>
  <c r="M2" i="14" s="1"/>
  <c r="L3" i="14" l="1"/>
  <c r="M9" i="14"/>
  <c r="M5" i="14"/>
  <c r="M8" i="14"/>
  <c r="M4" i="14"/>
  <c r="M7" i="14"/>
  <c r="L6" i="14"/>
  <c r="L2" i="14"/>
  <c r="L10" i="14"/>
  <c r="S2" i="14" l="1"/>
  <c r="N2" i="14"/>
  <c r="O2" i="14" s="1"/>
  <c r="N8" i="14"/>
  <c r="O8" i="14" s="1"/>
  <c r="N10" i="14"/>
  <c r="O10" i="14" s="1"/>
  <c r="N6" i="14"/>
  <c r="O6" i="14" s="1"/>
  <c r="N5" i="14"/>
  <c r="O5" i="14" s="1"/>
  <c r="N9" i="14"/>
  <c r="O9" i="14" s="1"/>
  <c r="N3" i="14"/>
  <c r="O3" i="14" s="1"/>
  <c r="N4" i="14"/>
  <c r="O4" i="14" s="1"/>
  <c r="N7" i="14"/>
  <c r="O7" i="14" s="1"/>
  <c r="T2" i="14" l="1"/>
</calcChain>
</file>

<file path=xl/sharedStrings.xml><?xml version="1.0" encoding="utf-8"?>
<sst xmlns="http://schemas.openxmlformats.org/spreadsheetml/2006/main" count="53" uniqueCount="27">
  <si>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</si>
  <si>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</si>
  <si>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</si>
  <si>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</si>
  <si>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</si>
  <si>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</si>
  <si>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</si>
  <si>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</si>
  <si>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</si>
  <si>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</si>
  <si>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</si>
  <si>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</si>
  <si>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</si>
  <si>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G-A06</t>
  </si>
  <si>
    <t>G-A07</t>
  </si>
  <si>
    <t>G-A16</t>
  </si>
  <si>
    <t>G-A17</t>
  </si>
  <si>
    <t>G-S25</t>
  </si>
  <si>
    <t>G-S25+</t>
  </si>
  <si>
    <t>G-S25-ULTRA</t>
  </si>
  <si>
    <t>G-S24-ULTRA</t>
  </si>
  <si>
    <t>G-A16-5G</t>
  </si>
  <si>
    <t>0929</t>
  </si>
  <si>
    <t>A0S3A0A250000998</t>
  </si>
  <si>
    <t>VITEL W41 VE Sell-Thru Promotion</t>
  </si>
  <si>
    <t>100 IN ESTIMATE</t>
  </si>
  <si>
    <t>WHAT WE SENT SAMSUNG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</si>
</sst>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3" borderId="1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0" fontId="0" fillId="5" borderId="1" xfId="0" quotePrefix="1" applyFill="1" applyBorder="1"/>
    <xf numFmtId="8" fontId="0" fillId="5" borderId="0" xfId="0" applyNumberFormat="1" applyFill="1"/>
    <xf numFmtId="1" fontId="0" fillId="4" borderId="1" xfId="0" applyNumberFormat="1" applyFill="1" applyBorder="1"/>
    <xf numFmtId="0" fontId="1" fillId="6" borderId="1" xfId="0" applyFont="1" applyFill="1" applyBorder="1"/>
    <xf numFmtId="0" fontId="0" fillId="6" borderId="0" xfId="0" applyFill="1"/>
    <xf numFmtId="8" fontId="0" fillId="6" borderId="0" xfId="0" applyNumberFormat="1" applyFill="1"/>
    <xf numFmtId="44" fontId="0" fillId="6" borderId="0" xfId="0" applyNumberFormat="1" applyFill="1"/>
    <xf numFmtId="0" fontId="2" fillId="6" borderId="0" xfId="0" applyFont="1" applyFill="1"/>
  </cellXfs>
  <cellStyles count="2">
    <cellStyle name="Currency" xfId="1" builtinId="4"/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CF538A-6CEA-4CBD-875C-DEED962AEEB9}">
  <dimension ref="A1:T10"/>
  <sheetViews>
    <sheetView tabSelected="1" workbookViewId="0">
      <selection activeCell="I6" sqref="I6"/>
    </sheetView>
  </sheetViews>
  <sheetFormatPr defaultRowHeight="18" customHeight="1" x14ac:dyDescent="0.2"/>
  <cols>
    <col min="1" max="1" width="20.28515625" bestFit="1" customWidth="1"/>
    <col min="2" max="2" width="37" bestFit="1" customWidth="1"/>
    <col min="3" max="4" width="16.28515625" bestFit="1" customWidth="1"/>
    <col min="5" max="5" width="8.5703125" bestFit="1" customWidth="1"/>
    <col min="6" max="6" width="8.140625" style="10" bestFit="1" customWidth="1"/>
    <col min="7" max="7" width="11.7109375" bestFit="1" customWidth="1"/>
    <col min="8" max="8" width="22" bestFit="1" customWidth="1"/>
    <col min="9" max="9" width="7.85546875" style="10" bestFit="1" customWidth="1"/>
    <col min="10" max="10" width="7.85546875" bestFit="1" customWidth="1"/>
    <col min="11" max="11" width="5.140625" bestFit="1" customWidth="1"/>
    <col min="12" max="12" width="9.42578125" bestFit="1" customWidth="1"/>
    <col min="13" max="13" width="11.7109375" bestFit="1" customWidth="1"/>
    <col min="14" max="14" width="16.140625" bestFit="1" customWidth="1"/>
    <col min="15" max="15" width="11.42578125" style="8" bestFit="1" customWidth="1"/>
    <col min="17" max="17" width="14.140625" bestFit="1" customWidth="1"/>
    <col min="18" max="18" width="11.7109375" bestFit="1" customWidth="1"/>
    <col min="19" max="19" width="12.28515625" bestFit="1" customWidth="1"/>
    <col min="20" max="20" width="11.28515625" bestFit="1" customWidth="1"/>
  </cols>
  <sheetData>
    <row r="1" spans="1:20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5</v>
      </c>
      <c r="G1" s="1" t="s">
        <v>6</v>
      </c>
      <c r="H1" s="1" t="s">
        <v>26</v>
      </c>
      <c r="I1" s="9" t="s">
        <v>7</v>
      </c>
      <c r="J1" s="1" t="s">
        <v>8</v>
      </c>
      <c r="K1" s="1" t="s">
        <v>9</v>
      </c>
      <c r="L1" s="1" t="s">
        <v>10</v>
      </c>
      <c r="M1" s="1" t="s">
        <v>6</v>
      </c>
      <c r="N1" s="1" t="s">
        <v>11</v>
      </c>
      <c r="O1" s="6" t="s">
        <v>12</v>
      </c>
      <c r="T1" s="13" t="s">
        <v>22</v>
      </c>
    </row>
    <row r="2" spans="1:20" ht="18" customHeight="1" x14ac:dyDescent="0.2">
      <c r="A2" s="2" t="s">
        <v>23</v>
      </c>
      <c r="B2" s="2" t="s">
        <v>24</v>
      </c>
      <c r="C2" s="2" t="s">
        <v>13</v>
      </c>
      <c r="D2" s="2" t="s">
        <v>13</v>
      </c>
      <c r="E2" s="3">
        <v>10</v>
      </c>
      <c r="F2" s="15">
        <v>0</v>
      </c>
      <c r="G2" s="3">
        <f>E2*$F2</f>
        <v>0</v>
      </c>
      <c r="H2" s="3"/>
      <c r="I2" s="4"/>
      <c r="J2" s="4"/>
      <c r="K2" s="4">
        <f t="shared" ref="K2:K10" si="0">I2+J2</f>
        <v>0</v>
      </c>
      <c r="L2" s="4">
        <f t="shared" ref="L2:L10" si="1">F2-K2</f>
        <v>0</v>
      </c>
      <c r="M2" s="5">
        <f t="shared" ref="M2:M10" si="2">K2*E2</f>
        <v>0</v>
      </c>
      <c r="N2" s="5">
        <f t="shared" ref="N2:N10" si="3">G2-M2</f>
        <v>0</v>
      </c>
      <c r="O2" s="16" t="str">
        <f t="shared" ref="O2:O10" si="4">IF(N2&gt;0,"KEEP SELLING", "DO NOT SELL")</f>
        <v>DO NOT SELL</v>
      </c>
      <c r="R2" s="12">
        <f>SUM(G2:G10)</f>
        <v>61820</v>
      </c>
      <c r="S2" s="11">
        <f>SUM(M2:M10)</f>
        <v>25920</v>
      </c>
      <c r="T2" s="14">
        <f>R2-S2</f>
        <v>35900</v>
      </c>
    </row>
    <row r="3" spans="1:20" ht="18" customHeight="1" x14ac:dyDescent="0.2">
      <c r="A3" s="2" t="s">
        <v>23</v>
      </c>
      <c r="B3" s="2" t="s">
        <v>24</v>
      </c>
      <c r="C3" s="2" t="s">
        <v>14</v>
      </c>
      <c r="D3" s="2" t="s">
        <v>14</v>
      </c>
      <c r="E3" s="3">
        <v>10</v>
      </c>
      <c r="F3" s="15">
        <v>0</v>
      </c>
      <c r="G3" s="3">
        <f t="shared" ref="G3:G10" si="5">E3*$F3</f>
        <v>0</v>
      </c>
      <c r="H3" s="3"/>
      <c r="I3" s="4"/>
      <c r="J3" s="4"/>
      <c r="K3" s="4">
        <f t="shared" si="0"/>
        <v>0</v>
      </c>
      <c r="L3" s="4">
        <f t="shared" si="1"/>
        <v>0</v>
      </c>
      <c r="M3" s="5">
        <f t="shared" si="2"/>
        <v>0</v>
      </c>
      <c r="N3" s="5">
        <f t="shared" si="3"/>
        <v>0</v>
      </c>
      <c r="O3" s="16" t="str">
        <f t="shared" si="4"/>
        <v>DO NOT SELL</v>
      </c>
      <c r="R3" s="12"/>
      <c r="S3" s="11"/>
    </row>
    <row r="4" spans="1:20" ht="18" customHeight="1" x14ac:dyDescent="0.2">
      <c r="A4" s="2" t="s">
        <v>23</v>
      </c>
      <c r="B4" s="2" t="s">
        <v>24</v>
      </c>
      <c r="C4" s="2" t="s">
        <v>15</v>
      </c>
      <c r="D4" s="2" t="s">
        <v>15</v>
      </c>
      <c r="E4" s="3">
        <v>10</v>
      </c>
      <c r="F4" s="15">
        <v>2580</v>
      </c>
      <c r="G4" s="3">
        <f t="shared" si="5"/>
        <v>25800</v>
      </c>
      <c r="H4" s="3"/>
      <c r="I4" s="4">
        <v>1180</v>
      </c>
      <c r="J4" s="4">
        <v>400</v>
      </c>
      <c r="K4" s="4">
        <f t="shared" si="0"/>
        <v>1580</v>
      </c>
      <c r="L4" s="4">
        <f t="shared" si="1"/>
        <v>1000</v>
      </c>
      <c r="M4" s="5">
        <f t="shared" si="2"/>
        <v>15800</v>
      </c>
      <c r="N4" s="5">
        <f t="shared" si="3"/>
        <v>10000</v>
      </c>
      <c r="O4" s="16" t="str">
        <f t="shared" si="4"/>
        <v>KEEP SELLING</v>
      </c>
      <c r="R4" s="12"/>
      <c r="S4" s="11"/>
    </row>
    <row r="5" spans="1:20" s="17" customFormat="1" ht="18" customHeight="1" x14ac:dyDescent="0.2">
      <c r="A5" s="2" t="s">
        <v>23</v>
      </c>
      <c r="B5" s="2" t="s">
        <v>24</v>
      </c>
      <c r="C5" s="2" t="s">
        <v>21</v>
      </c>
      <c r="D5" s="2" t="s">
        <v>21</v>
      </c>
      <c r="E5" s="3">
        <v>5</v>
      </c>
      <c r="F5" s="15">
        <v>0</v>
      </c>
      <c r="G5" s="3">
        <f t="shared" si="5"/>
        <v>0</v>
      </c>
      <c r="H5" s="3"/>
      <c r="I5" s="4"/>
      <c r="J5" s="4"/>
      <c r="K5" s="4">
        <f t="shared" si="0"/>
        <v>0</v>
      </c>
      <c r="L5" s="4">
        <f t="shared" si="1"/>
        <v>0</v>
      </c>
      <c r="M5" s="5">
        <f t="shared" si="2"/>
        <v>0</v>
      </c>
      <c r="N5" s="5">
        <f t="shared" si="3"/>
        <v>0</v>
      </c>
      <c r="O5" s="16" t="str">
        <f t="shared" si="4"/>
        <v>DO NOT SELL</v>
      </c>
      <c r="R5" s="12"/>
      <c r="S5" s="11"/>
    </row>
    <row r="6" spans="1:20" s="17" customFormat="1" ht="18" customHeight="1" x14ac:dyDescent="0.2">
      <c r="A6" s="2" t="s">
        <v>23</v>
      </c>
      <c r="B6" s="2" t="s">
        <v>24</v>
      </c>
      <c r="C6" s="2" t="s">
        <v>16</v>
      </c>
      <c r="D6" s="2" t="s">
        <v>16</v>
      </c>
      <c r="E6" s="3">
        <v>10</v>
      </c>
      <c r="F6" s="15">
        <v>2120</v>
      </c>
      <c r="G6" s="3">
        <f t="shared" si="5"/>
        <v>21200</v>
      </c>
      <c r="H6" s="3"/>
      <c r="I6" s="4">
        <v>120</v>
      </c>
      <c r="J6" s="4">
        <v>100</v>
      </c>
      <c r="K6" s="4">
        <f t="shared" si="0"/>
        <v>220</v>
      </c>
      <c r="L6" s="4">
        <f t="shared" si="1"/>
        <v>1900</v>
      </c>
      <c r="M6" s="5">
        <f t="shared" si="2"/>
        <v>2200</v>
      </c>
      <c r="N6" s="5">
        <f t="shared" si="3"/>
        <v>19000</v>
      </c>
      <c r="O6" s="16" t="str">
        <f t="shared" si="4"/>
        <v>KEEP SELLING</v>
      </c>
      <c r="Q6" s="20" t="s">
        <v>25</v>
      </c>
      <c r="R6" s="18"/>
      <c r="S6" s="19"/>
    </row>
    <row r="7" spans="1:20" s="17" customFormat="1" ht="18" customHeight="1" x14ac:dyDescent="0.2">
      <c r="A7" s="2" t="s">
        <v>23</v>
      </c>
      <c r="B7" s="2" t="s">
        <v>24</v>
      </c>
      <c r="C7" s="2" t="s">
        <v>20</v>
      </c>
      <c r="D7" s="2" t="s">
        <v>20</v>
      </c>
      <c r="E7" s="3">
        <v>30</v>
      </c>
      <c r="F7" s="15">
        <v>0</v>
      </c>
      <c r="G7" s="3">
        <f t="shared" si="5"/>
        <v>0</v>
      </c>
      <c r="H7" s="3"/>
      <c r="I7" s="4"/>
      <c r="J7" s="4"/>
      <c r="K7" s="4">
        <f t="shared" si="0"/>
        <v>0</v>
      </c>
      <c r="L7" s="4">
        <f t="shared" si="1"/>
        <v>0</v>
      </c>
      <c r="M7" s="5">
        <f t="shared" si="2"/>
        <v>0</v>
      </c>
      <c r="N7" s="5">
        <f t="shared" si="3"/>
        <v>0</v>
      </c>
      <c r="O7" s="7" t="str">
        <f t="shared" si="4"/>
        <v>DO NOT SELL</v>
      </c>
      <c r="R7" s="18"/>
      <c r="S7" s="19"/>
    </row>
    <row r="8" spans="1:20" s="17" customFormat="1" ht="18" customHeight="1" x14ac:dyDescent="0.2">
      <c r="A8" s="2" t="s">
        <v>23</v>
      </c>
      <c r="B8" s="2" t="s">
        <v>24</v>
      </c>
      <c r="C8" s="2" t="s">
        <v>17</v>
      </c>
      <c r="D8" s="2" t="s">
        <v>17</v>
      </c>
      <c r="E8" s="3">
        <v>30</v>
      </c>
      <c r="F8" s="15">
        <v>50</v>
      </c>
      <c r="G8" s="3">
        <f t="shared" si="5"/>
        <v>1500</v>
      </c>
      <c r="H8" s="3"/>
      <c r="I8" s="4"/>
      <c r="J8" s="4"/>
      <c r="K8" s="4">
        <f t="shared" si="0"/>
        <v>0</v>
      </c>
      <c r="L8" s="4">
        <f t="shared" si="1"/>
        <v>50</v>
      </c>
      <c r="M8" s="5">
        <f t="shared" si="2"/>
        <v>0</v>
      </c>
      <c r="N8" s="5">
        <f t="shared" si="3"/>
        <v>1500</v>
      </c>
      <c r="O8" s="7" t="str">
        <f t="shared" si="4"/>
        <v>KEEP SELLING</v>
      </c>
      <c r="R8" s="18"/>
      <c r="S8" s="19"/>
    </row>
    <row r="9" spans="1:20" s="17" customFormat="1" ht="18" customHeight="1" x14ac:dyDescent="0.2">
      <c r="A9" s="2" t="s">
        <v>23</v>
      </c>
      <c r="B9" s="2" t="s">
        <v>24</v>
      </c>
      <c r="C9" s="2" t="s">
        <v>18</v>
      </c>
      <c r="D9" s="2" t="s">
        <v>18</v>
      </c>
      <c r="E9" s="3">
        <v>30</v>
      </c>
      <c r="F9" s="15">
        <v>20</v>
      </c>
      <c r="G9" s="3">
        <f t="shared" si="5"/>
        <v>600</v>
      </c>
      <c r="H9" s="3"/>
      <c r="I9" s="4"/>
      <c r="J9" s="4"/>
      <c r="K9" s="4">
        <f t="shared" si="0"/>
        <v>0</v>
      </c>
      <c r="L9" s="4">
        <f t="shared" si="1"/>
        <v>20</v>
      </c>
      <c r="M9" s="5">
        <f t="shared" si="2"/>
        <v>0</v>
      </c>
      <c r="N9" s="5">
        <f t="shared" si="3"/>
        <v>600</v>
      </c>
      <c r="O9" s="7" t="str">
        <f t="shared" si="4"/>
        <v>KEEP SELLING</v>
      </c>
    </row>
    <row r="10" spans="1:20" ht="18" customHeight="1" x14ac:dyDescent="0.2">
      <c r="A10" s="2" t="s">
        <v>23</v>
      </c>
      <c r="B10" s="2" t="s">
        <v>24</v>
      </c>
      <c r="C10" s="2" t="s">
        <v>19</v>
      </c>
      <c r="D10" s="2" t="s">
        <v>19</v>
      </c>
      <c r="E10" s="3">
        <v>80</v>
      </c>
      <c r="F10" s="15">
        <v>159</v>
      </c>
      <c r="G10" s="3">
        <f t="shared" si="5"/>
        <v>12720</v>
      </c>
      <c r="H10" s="3"/>
      <c r="I10" s="4">
        <v>69</v>
      </c>
      <c r="J10" s="4">
        <v>30</v>
      </c>
      <c r="K10" s="4">
        <f t="shared" si="0"/>
        <v>99</v>
      </c>
      <c r="L10" s="4">
        <f t="shared" si="1"/>
        <v>60</v>
      </c>
      <c r="M10" s="5">
        <f t="shared" si="2"/>
        <v>7920</v>
      </c>
      <c r="N10" s="5">
        <f t="shared" si="3"/>
        <v>4800</v>
      </c>
      <c r="O10" s="7" t="str">
        <f t="shared" si="4"/>
        <v>KEEP SELLING</v>
      </c>
    </row>
  </sheetData>
  <conditionalFormatting sqref="I2:J10 L2:O10">
    <cfRule type="cellIs" dxfId="2" priority="1" operator="lessThan">
      <formula>0</formula>
    </cfRule>
  </conditionalFormatting>
  <conditionalFormatting sqref="O1:O1048576">
    <cfRule type="containsText" dxfId="1" priority="2" operator="containsText" text="DO NOT SELL">
      <formula>NOT(ISERROR(SEARCH("DO NOT SELL",O1)))</formula>
    </cfRule>
    <cfRule type="containsText" dxfId="0" priority="3" operator="containsText" text="KEEP SELLING">
      <formula>NOT(ISERROR(SEARCH("KEEP SELLING",O1)))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 of now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2025-10-10T20:34:32Z</dcterms:modified>
  <cp:category/>
  <cp:contentStatus/>
</cp:coreProperties>
</file>