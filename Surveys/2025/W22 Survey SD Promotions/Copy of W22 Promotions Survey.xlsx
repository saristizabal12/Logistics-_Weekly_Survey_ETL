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22 Survey SD Promotions\"/>
    </mc:Choice>
  </mc:AlternateContent>
  <xr:revisionPtr revIDLastSave="0" documentId="13_ncr:1_{80B7F92C-EEF0-469B-8B42-7D335D743089}" xr6:coauthVersionLast="47" xr6:coauthVersionMax="47" xr10:uidLastSave="{00000000-0000-0000-0000-000000000000}"/>
  <bookViews>
    <workbookView xWindow="51480" yWindow="-120" windowWidth="29040" windowHeight="15720" xr2:uid="{00000000-000D-0000-FFFF-FFFF00000000}"/>
  </bookViews>
  <sheets>
    <sheet name="updated" sheetId="3" r:id="rId1"/>
  </sheets>
  <definedNames>
    <definedName name="_xlnm._FilterDatabase" localSheetId="0" hidden="1">updated!$A$1:$O$28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8" i="3" l="1"/>
  <c r="K28" i="3"/>
  <c r="M28" i="3" s="1"/>
  <c r="L27" i="3"/>
  <c r="K27" i="3"/>
  <c r="M27" i="3" s="1"/>
  <c r="L26" i="3"/>
  <c r="K26" i="3"/>
  <c r="M26" i="3" s="1"/>
  <c r="L25" i="3"/>
  <c r="K25" i="3"/>
  <c r="M25" i="3" s="1"/>
  <c r="L24" i="3"/>
  <c r="K24" i="3"/>
  <c r="M24" i="3" s="1"/>
  <c r="L23" i="3"/>
  <c r="K23" i="3"/>
  <c r="M23" i="3" s="1"/>
  <c r="L22" i="3"/>
  <c r="K22" i="3"/>
  <c r="M22" i="3" s="1"/>
  <c r="L21" i="3"/>
  <c r="K21" i="3"/>
  <c r="M21" i="3" s="1"/>
  <c r="L20" i="3"/>
  <c r="K20" i="3"/>
  <c r="M20" i="3" s="1"/>
  <c r="L19" i="3"/>
  <c r="K19" i="3"/>
  <c r="M19" i="3" s="1"/>
  <c r="L18" i="3"/>
  <c r="K18" i="3"/>
  <c r="M18" i="3" s="1"/>
  <c r="L17" i="3"/>
  <c r="K17" i="3"/>
  <c r="M17" i="3" s="1"/>
  <c r="L16" i="3"/>
  <c r="K16" i="3"/>
  <c r="M16" i="3" s="1"/>
  <c r="L15" i="3"/>
  <c r="K15" i="3"/>
  <c r="M15" i="3" s="1"/>
  <c r="L14" i="3"/>
  <c r="K14" i="3"/>
  <c r="M14" i="3" s="1"/>
  <c r="L13" i="3"/>
  <c r="K13" i="3"/>
  <c r="M13" i="3" s="1"/>
  <c r="L12" i="3"/>
  <c r="K12" i="3"/>
  <c r="M12" i="3" s="1"/>
  <c r="L11" i="3"/>
  <c r="K11" i="3"/>
  <c r="M11" i="3" s="1"/>
  <c r="L10" i="3"/>
  <c r="K10" i="3"/>
  <c r="M10" i="3" s="1"/>
  <c r="L9" i="3"/>
  <c r="K9" i="3"/>
  <c r="M9" i="3" s="1"/>
  <c r="L8" i="3"/>
  <c r="K8" i="3"/>
  <c r="M8" i="3" s="1"/>
  <c r="L7" i="3"/>
  <c r="K7" i="3"/>
  <c r="M7" i="3" s="1"/>
  <c r="L6" i="3"/>
  <c r="K6" i="3"/>
  <c r="M6" i="3" s="1"/>
  <c r="L5" i="3"/>
  <c r="K5" i="3"/>
  <c r="M5" i="3" s="1"/>
  <c r="L4" i="3"/>
  <c r="K4" i="3"/>
  <c r="M4" i="3" s="1"/>
  <c r="L3" i="3"/>
  <c r="K3" i="3"/>
  <c r="M3" i="3" s="1"/>
  <c r="L2" i="3"/>
  <c r="K2" i="3"/>
  <c r="M2" i="3" s="1"/>
</calcChain>
</file>

<file path=xl/sharedStrings.xml><?xml version="1.0" encoding="utf-8"?>
<sst xmlns="http://schemas.openxmlformats.org/spreadsheetml/2006/main" count="177" uniqueCount="66">
  <si>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</si>
  <si>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</si>
  <si>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</si>
  <si>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</si>
  <si>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</si>
  <si>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</si>
  <si>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</si>
  <si>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</si>
  <si>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</t>
  </si>
  <si>
    <t>G-S25+</t>
  </si>
  <si>
    <t>G-A36-5G</t>
  </si>
  <si>
    <t>G-A56-5G</t>
  </si>
  <si>
    <t>VITEL MOBILE, INC.</t>
  </si>
  <si>
    <t>G-S24-FE</t>
  </si>
  <si>
    <t>G-A16</t>
  </si>
  <si>
    <t>G-A16-5G</t>
  </si>
  <si>
    <t>G-S24</t>
  </si>
  <si>
    <t>G-S24+</t>
  </si>
  <si>
    <t>G-S24-ULTRA</t>
  </si>
  <si>
    <t>G-S25-ULTRA</t>
  </si>
  <si>
    <t>SM-M556BLGMTPA</t>
  </si>
  <si>
    <t>MOBILE,SM-M556B/DS,LIGHT GREEN,TPA</t>
  </si>
  <si>
    <t>SM-M556BZKMTPA</t>
  </si>
  <si>
    <t>MOBILE,SM-M556B/DS,BLACK,TPA</t>
  </si>
  <si>
    <t>SM-X520NLBATPA</t>
  </si>
  <si>
    <t>TABLET,SM-X520,LIGHT BLUE,TPA</t>
  </si>
  <si>
    <t>SM-X520NZAATPA</t>
  </si>
  <si>
    <t>TABLET,SM-X520,GRAY,TPA</t>
  </si>
  <si>
    <t>SM-X520NZSATPA</t>
  </si>
  <si>
    <t>TABLET,SM-X520,SILVER,TPA</t>
  </si>
  <si>
    <t>SM-X526BLBATPA</t>
  </si>
  <si>
    <t>TABLET,SM-X526B,LIGHT BLUE,TPA</t>
  </si>
  <si>
    <t>SM-X526BZAATPA</t>
  </si>
  <si>
    <t>TABLET,SM-X526B,GRAY,TPA</t>
  </si>
  <si>
    <t>SM-X526BZSATPA</t>
  </si>
  <si>
    <t>TABLET,SM-X526B,SILVER,TPA</t>
  </si>
  <si>
    <t>SM-X620NLBATPA</t>
  </si>
  <si>
    <t>TABLET,SM-X620,LIGHT BLUE,TPA</t>
  </si>
  <si>
    <t>SM-X620NZAATPA</t>
  </si>
  <si>
    <t>TABLET,SM-X620,GRAY,TPA</t>
  </si>
  <si>
    <t>SM-X620NZSATPA</t>
  </si>
  <si>
    <t>TABLET,SM-X620,SILVER,TPA</t>
  </si>
  <si>
    <t>SM-X626BLBATPA</t>
  </si>
  <si>
    <t>TABLET,SM-X626B,LIGHT BLUE,TPA</t>
  </si>
  <si>
    <t>SM-X626BZAATPA</t>
  </si>
  <si>
    <t>TABLET,SM-X626B,GRAY,TPA</t>
  </si>
  <si>
    <t>SM-X626BZSATPA</t>
  </si>
  <si>
    <t>TABLET,SM-X626B,SILVER,TPA</t>
  </si>
  <si>
    <t>G-A26-5G</t>
  </si>
  <si>
    <t>A2S3A0A250000188</t>
  </si>
  <si>
    <t>A0S3A0A250000547</t>
  </si>
  <si>
    <t>VITEL W20-W22 Galaxy S24 FE OM ST Promo</t>
  </si>
  <si>
    <t>A2S3A0A250000196</t>
  </si>
  <si>
    <t>SM-X520NZSETPA</t>
  </si>
  <si>
    <t>A0S3A0A250000573</t>
  </si>
  <si>
    <t>VITEL W20-W22 Galaxy Tab S10 FE Series ST Promo</t>
  </si>
  <si>
    <t>A2S3A0A250000212</t>
  </si>
  <si>
    <t>A0S3A0A250000608</t>
  </si>
  <si>
    <t>VITEL W22 NRM Sell-Thru Promotion</t>
  </si>
  <si>
    <t>Incentive</t>
  </si>
  <si>
    <t>AS-IS Qty</t>
  </si>
  <si>
    <t>AS-IS Amt($)</t>
  </si>
  <si>
    <t>TO-BE Qty</t>
  </si>
  <si>
    <t>TO-BE Amt($)</t>
  </si>
  <si>
    <t>DELTA Qty</t>
  </si>
  <si>
    <t>DELTA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</si>
</sst>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2" fillId="2" borderId="1" xfId="1" applyFill="1" applyBorder="1"/>
  </cellXfs>
  <cellStyles count="2">
    <cellStyle name="Explanatory Text" xfId="1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8814-1A30-4FB6-BF0C-84035BB33D3F}">
  <dimension ref="A1:O28"/>
  <sheetViews>
    <sheetView tabSelected="1" topLeftCell="E1" workbookViewId="0">
      <selection activeCell="P12" sqref="P12"/>
    </sheetView>
  </sheetViews>
  <sheetFormatPr defaultRowHeight="12.75" x14ac:dyDescent="0.2"/>
  <cols>
    <col min="1" max="1" width="22.42578125" bestFit="1" customWidth="1"/>
    <col min="2" max="2" width="46.28515625" bestFit="1" customWidth="1"/>
    <col min="3" max="3" width="28" bestFit="1" customWidth="1"/>
    <col min="4" max="4" width="32.7109375" bestFit="1" customWidth="1"/>
    <col min="5" max="5" width="16.140625" bestFit="1" customWidth="1"/>
    <col min="6" max="6" width="33" bestFit="1" customWidth="1"/>
    <col min="7" max="8" width="10.42578125" bestFit="1" customWidth="1"/>
    <col min="9" max="9" width="13.140625" bestFit="1" customWidth="1"/>
    <col min="10" max="10" width="11.140625" bestFit="1" customWidth="1"/>
    <col min="11" max="11" width="13.85546875" bestFit="1" customWidth="1"/>
    <col min="12" max="12" width="11.42578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ht="15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</v>
      </c>
      <c r="O1" s="1" t="s">
        <v>7</v>
      </c>
    </row>
    <row r="2" spans="1:15" x14ac:dyDescent="0.2">
      <c r="A2" s="2" t="s">
        <v>50</v>
      </c>
      <c r="B2" s="2" t="s">
        <v>51</v>
      </c>
      <c r="C2" s="2" t="s">
        <v>49</v>
      </c>
      <c r="D2" s="2" t="s">
        <v>12</v>
      </c>
      <c r="E2" s="2" t="s">
        <v>13</v>
      </c>
      <c r="F2" s="2" t="s">
        <v>13</v>
      </c>
      <c r="G2" s="6">
        <v>100</v>
      </c>
      <c r="H2" s="7">
        <v>300</v>
      </c>
      <c r="I2" s="6">
        <v>30000</v>
      </c>
      <c r="J2" s="5">
        <v>600</v>
      </c>
      <c r="K2" s="4">
        <f t="shared" ref="K2:K28" si="0">J2*G2</f>
        <v>60000</v>
      </c>
      <c r="L2" s="7">
        <f t="shared" ref="L2:M17" si="1">J2-H2</f>
        <v>300</v>
      </c>
      <c r="M2" s="6">
        <f t="shared" si="1"/>
        <v>30000</v>
      </c>
      <c r="N2" s="3">
        <v>45789</v>
      </c>
      <c r="O2" s="3">
        <v>45809</v>
      </c>
    </row>
    <row r="3" spans="1:15" x14ac:dyDescent="0.2">
      <c r="A3" s="2" t="s">
        <v>54</v>
      </c>
      <c r="B3" s="2" t="s">
        <v>55</v>
      </c>
      <c r="C3" s="2" t="s">
        <v>52</v>
      </c>
      <c r="D3" s="2" t="s">
        <v>12</v>
      </c>
      <c r="E3" s="2" t="s">
        <v>24</v>
      </c>
      <c r="F3" s="2" t="s">
        <v>25</v>
      </c>
      <c r="G3" s="6">
        <v>30</v>
      </c>
      <c r="H3" s="7">
        <v>151</v>
      </c>
      <c r="I3" s="6">
        <v>4530</v>
      </c>
      <c r="J3" s="5">
        <v>251</v>
      </c>
      <c r="K3" s="4">
        <f t="shared" si="0"/>
        <v>7530</v>
      </c>
      <c r="L3" s="7">
        <f t="shared" si="1"/>
        <v>100</v>
      </c>
      <c r="M3" s="6">
        <f t="shared" si="1"/>
        <v>3000</v>
      </c>
      <c r="N3" s="3">
        <v>45789</v>
      </c>
      <c r="O3" s="3">
        <v>45809</v>
      </c>
    </row>
    <row r="4" spans="1:15" x14ac:dyDescent="0.2">
      <c r="A4" s="2" t="s">
        <v>54</v>
      </c>
      <c r="B4" s="2" t="s">
        <v>55</v>
      </c>
      <c r="C4" s="2" t="s">
        <v>52</v>
      </c>
      <c r="D4" s="2" t="s">
        <v>12</v>
      </c>
      <c r="E4" s="2" t="s">
        <v>26</v>
      </c>
      <c r="F4" s="2" t="s">
        <v>27</v>
      </c>
      <c r="G4" s="6">
        <v>30</v>
      </c>
      <c r="H4" s="7">
        <v>151</v>
      </c>
      <c r="I4" s="6">
        <v>4530</v>
      </c>
      <c r="J4" s="5">
        <v>251</v>
      </c>
      <c r="K4" s="4">
        <f t="shared" si="0"/>
        <v>7530</v>
      </c>
      <c r="L4" s="7">
        <f t="shared" si="1"/>
        <v>100</v>
      </c>
      <c r="M4" s="6">
        <f t="shared" si="1"/>
        <v>3000</v>
      </c>
      <c r="N4" s="3">
        <v>45789</v>
      </c>
      <c r="O4" s="3">
        <v>45809</v>
      </c>
    </row>
    <row r="5" spans="1:15" x14ac:dyDescent="0.2">
      <c r="A5" s="2" t="s">
        <v>54</v>
      </c>
      <c r="B5" s="2" t="s">
        <v>55</v>
      </c>
      <c r="C5" s="2" t="s">
        <v>52</v>
      </c>
      <c r="D5" s="2" t="s">
        <v>12</v>
      </c>
      <c r="E5" s="2" t="s">
        <v>28</v>
      </c>
      <c r="F5" s="2" t="s">
        <v>29</v>
      </c>
      <c r="G5" s="6">
        <v>30</v>
      </c>
      <c r="H5" s="7">
        <v>150</v>
      </c>
      <c r="I5" s="6">
        <v>4500</v>
      </c>
      <c r="J5" s="5">
        <v>250</v>
      </c>
      <c r="K5" s="4">
        <f t="shared" si="0"/>
        <v>7500</v>
      </c>
      <c r="L5" s="7">
        <f t="shared" si="1"/>
        <v>100</v>
      </c>
      <c r="M5" s="6">
        <f t="shared" si="1"/>
        <v>3000</v>
      </c>
      <c r="N5" s="3">
        <v>45789</v>
      </c>
      <c r="O5" s="3">
        <v>45809</v>
      </c>
    </row>
    <row r="6" spans="1:15" x14ac:dyDescent="0.2">
      <c r="A6" s="2" t="s">
        <v>54</v>
      </c>
      <c r="B6" s="2" t="s">
        <v>55</v>
      </c>
      <c r="C6" s="2" t="s">
        <v>52</v>
      </c>
      <c r="D6" s="2" t="s">
        <v>12</v>
      </c>
      <c r="E6" s="2" t="s">
        <v>53</v>
      </c>
      <c r="F6" s="2" t="s">
        <v>29</v>
      </c>
      <c r="G6" s="6">
        <v>30</v>
      </c>
      <c r="H6" s="7">
        <v>1</v>
      </c>
      <c r="I6" s="6">
        <v>30</v>
      </c>
      <c r="J6" s="5">
        <v>100</v>
      </c>
      <c r="K6" s="4">
        <f t="shared" si="0"/>
        <v>3000</v>
      </c>
      <c r="L6" s="7">
        <f t="shared" si="1"/>
        <v>99</v>
      </c>
      <c r="M6" s="6">
        <f t="shared" si="1"/>
        <v>2970</v>
      </c>
      <c r="N6" s="3">
        <v>45789</v>
      </c>
      <c r="O6" s="3">
        <v>45809</v>
      </c>
    </row>
    <row r="7" spans="1:15" x14ac:dyDescent="0.2">
      <c r="A7" s="2" t="s">
        <v>54</v>
      </c>
      <c r="B7" s="2" t="s">
        <v>55</v>
      </c>
      <c r="C7" s="2" t="s">
        <v>52</v>
      </c>
      <c r="D7" s="2" t="s">
        <v>12</v>
      </c>
      <c r="E7" s="2" t="s">
        <v>30</v>
      </c>
      <c r="F7" s="2" t="s">
        <v>31</v>
      </c>
      <c r="G7" s="6">
        <v>30</v>
      </c>
      <c r="H7" s="7">
        <v>50</v>
      </c>
      <c r="I7" s="6">
        <v>1500</v>
      </c>
      <c r="J7" s="5">
        <v>50</v>
      </c>
      <c r="K7" s="4">
        <f t="shared" si="0"/>
        <v>1500</v>
      </c>
      <c r="L7" s="7">
        <f t="shared" si="1"/>
        <v>0</v>
      </c>
      <c r="M7" s="6">
        <f t="shared" si="1"/>
        <v>0</v>
      </c>
      <c r="N7" s="3">
        <v>45789</v>
      </c>
      <c r="O7" s="3">
        <v>45809</v>
      </c>
    </row>
    <row r="8" spans="1:15" x14ac:dyDescent="0.2">
      <c r="A8" s="2" t="s">
        <v>54</v>
      </c>
      <c r="B8" s="2" t="s">
        <v>55</v>
      </c>
      <c r="C8" s="2" t="s">
        <v>52</v>
      </c>
      <c r="D8" s="2" t="s">
        <v>12</v>
      </c>
      <c r="E8" s="2" t="s">
        <v>32</v>
      </c>
      <c r="F8" s="2" t="s">
        <v>33</v>
      </c>
      <c r="G8" s="6">
        <v>30</v>
      </c>
      <c r="H8" s="7">
        <v>50</v>
      </c>
      <c r="I8" s="6">
        <v>1500</v>
      </c>
      <c r="J8" s="5">
        <v>50</v>
      </c>
      <c r="K8" s="4">
        <f t="shared" si="0"/>
        <v>1500</v>
      </c>
      <c r="L8" s="7">
        <f t="shared" si="1"/>
        <v>0</v>
      </c>
      <c r="M8" s="6">
        <f t="shared" si="1"/>
        <v>0</v>
      </c>
      <c r="N8" s="3">
        <v>45789</v>
      </c>
      <c r="O8" s="3">
        <v>45809</v>
      </c>
    </row>
    <row r="9" spans="1:15" x14ac:dyDescent="0.2">
      <c r="A9" s="2" t="s">
        <v>54</v>
      </c>
      <c r="B9" s="2" t="s">
        <v>55</v>
      </c>
      <c r="C9" s="2" t="s">
        <v>52</v>
      </c>
      <c r="D9" s="2" t="s">
        <v>12</v>
      </c>
      <c r="E9" s="2" t="s">
        <v>34</v>
      </c>
      <c r="F9" s="2" t="s">
        <v>35</v>
      </c>
      <c r="G9" s="6">
        <v>30</v>
      </c>
      <c r="H9" s="7">
        <v>50</v>
      </c>
      <c r="I9" s="6">
        <v>1500</v>
      </c>
      <c r="J9" s="5">
        <v>50</v>
      </c>
      <c r="K9" s="4">
        <f t="shared" si="0"/>
        <v>1500</v>
      </c>
      <c r="L9" s="7">
        <f t="shared" si="1"/>
        <v>0</v>
      </c>
      <c r="M9" s="6">
        <f t="shared" si="1"/>
        <v>0</v>
      </c>
      <c r="N9" s="3">
        <v>45789</v>
      </c>
      <c r="O9" s="3">
        <v>45809</v>
      </c>
    </row>
    <row r="10" spans="1:15" x14ac:dyDescent="0.2">
      <c r="A10" s="2" t="s">
        <v>54</v>
      </c>
      <c r="B10" s="2" t="s">
        <v>55</v>
      </c>
      <c r="C10" s="2" t="s">
        <v>52</v>
      </c>
      <c r="D10" s="2" t="s">
        <v>12</v>
      </c>
      <c r="E10" s="2" t="s">
        <v>36</v>
      </c>
      <c r="F10" s="2" t="s">
        <v>37</v>
      </c>
      <c r="G10" s="6">
        <v>30</v>
      </c>
      <c r="H10" s="7">
        <v>100</v>
      </c>
      <c r="I10" s="6">
        <v>3000</v>
      </c>
      <c r="J10" s="5">
        <v>100</v>
      </c>
      <c r="K10" s="4">
        <f t="shared" si="0"/>
        <v>3000</v>
      </c>
      <c r="L10" s="7">
        <f t="shared" si="1"/>
        <v>0</v>
      </c>
      <c r="M10" s="6">
        <f t="shared" si="1"/>
        <v>0</v>
      </c>
      <c r="N10" s="3">
        <v>45789</v>
      </c>
      <c r="O10" s="3">
        <v>45809</v>
      </c>
    </row>
    <row r="11" spans="1:15" x14ac:dyDescent="0.2">
      <c r="A11" s="2" t="s">
        <v>54</v>
      </c>
      <c r="B11" s="2" t="s">
        <v>55</v>
      </c>
      <c r="C11" s="2" t="s">
        <v>52</v>
      </c>
      <c r="D11" s="2" t="s">
        <v>12</v>
      </c>
      <c r="E11" s="2" t="s">
        <v>38</v>
      </c>
      <c r="F11" s="2" t="s">
        <v>39</v>
      </c>
      <c r="G11" s="6">
        <v>30</v>
      </c>
      <c r="H11" s="7">
        <v>103</v>
      </c>
      <c r="I11" s="6">
        <v>3090</v>
      </c>
      <c r="J11" s="5">
        <v>103</v>
      </c>
      <c r="K11" s="4">
        <f t="shared" si="0"/>
        <v>3090</v>
      </c>
      <c r="L11" s="7">
        <f t="shared" si="1"/>
        <v>0</v>
      </c>
      <c r="M11" s="6">
        <f t="shared" si="1"/>
        <v>0</v>
      </c>
      <c r="N11" s="3">
        <v>45789</v>
      </c>
      <c r="O11" s="3">
        <v>45809</v>
      </c>
    </row>
    <row r="12" spans="1:15" x14ac:dyDescent="0.2">
      <c r="A12" s="2" t="s">
        <v>54</v>
      </c>
      <c r="B12" s="2" t="s">
        <v>55</v>
      </c>
      <c r="C12" s="2" t="s">
        <v>52</v>
      </c>
      <c r="D12" s="2" t="s">
        <v>12</v>
      </c>
      <c r="E12" s="2" t="s">
        <v>40</v>
      </c>
      <c r="F12" s="2" t="s">
        <v>41</v>
      </c>
      <c r="G12" s="6">
        <v>30</v>
      </c>
      <c r="H12" s="7">
        <v>100</v>
      </c>
      <c r="I12" s="6">
        <v>3000</v>
      </c>
      <c r="J12" s="5">
        <v>100</v>
      </c>
      <c r="K12" s="4">
        <f t="shared" si="0"/>
        <v>3000</v>
      </c>
      <c r="L12" s="7">
        <f t="shared" si="1"/>
        <v>0</v>
      </c>
      <c r="M12" s="6">
        <f t="shared" si="1"/>
        <v>0</v>
      </c>
      <c r="N12" s="3">
        <v>45789</v>
      </c>
      <c r="O12" s="3">
        <v>45809</v>
      </c>
    </row>
    <row r="13" spans="1:15" x14ac:dyDescent="0.2">
      <c r="A13" s="2" t="s">
        <v>54</v>
      </c>
      <c r="B13" s="2" t="s">
        <v>55</v>
      </c>
      <c r="C13" s="2" t="s">
        <v>52</v>
      </c>
      <c r="D13" s="2" t="s">
        <v>12</v>
      </c>
      <c r="E13" s="2" t="s">
        <v>42</v>
      </c>
      <c r="F13" s="2" t="s">
        <v>43</v>
      </c>
      <c r="G13" s="6">
        <v>30</v>
      </c>
      <c r="H13" s="7">
        <v>1</v>
      </c>
      <c r="I13" s="6">
        <v>30</v>
      </c>
      <c r="J13" s="5">
        <v>0</v>
      </c>
      <c r="K13" s="4">
        <f t="shared" si="0"/>
        <v>0</v>
      </c>
      <c r="L13" s="7">
        <f t="shared" si="1"/>
        <v>-1</v>
      </c>
      <c r="M13" s="6">
        <f t="shared" si="1"/>
        <v>-30</v>
      </c>
      <c r="N13" s="3">
        <v>45789</v>
      </c>
      <c r="O13" s="3">
        <v>45809</v>
      </c>
    </row>
    <row r="14" spans="1:15" x14ac:dyDescent="0.2">
      <c r="A14" s="2" t="s">
        <v>54</v>
      </c>
      <c r="B14" s="2" t="s">
        <v>55</v>
      </c>
      <c r="C14" s="2" t="s">
        <v>52</v>
      </c>
      <c r="D14" s="2" t="s">
        <v>12</v>
      </c>
      <c r="E14" s="2" t="s">
        <v>44</v>
      </c>
      <c r="F14" s="2" t="s">
        <v>45</v>
      </c>
      <c r="G14" s="6">
        <v>30</v>
      </c>
      <c r="H14" s="7">
        <v>50</v>
      </c>
      <c r="I14" s="6">
        <v>1500</v>
      </c>
      <c r="J14" s="5">
        <v>50</v>
      </c>
      <c r="K14" s="4">
        <f t="shared" si="0"/>
        <v>1500</v>
      </c>
      <c r="L14" s="7">
        <f t="shared" si="1"/>
        <v>0</v>
      </c>
      <c r="M14" s="6">
        <f t="shared" si="1"/>
        <v>0</v>
      </c>
      <c r="N14" s="3">
        <v>45789</v>
      </c>
      <c r="O14" s="3">
        <v>45809</v>
      </c>
    </row>
    <row r="15" spans="1:15" x14ac:dyDescent="0.2">
      <c r="A15" s="2" t="s">
        <v>54</v>
      </c>
      <c r="B15" s="2" t="s">
        <v>55</v>
      </c>
      <c r="C15" s="2" t="s">
        <v>52</v>
      </c>
      <c r="D15" s="2" t="s">
        <v>12</v>
      </c>
      <c r="E15" s="2" t="s">
        <v>46</v>
      </c>
      <c r="F15" s="2" t="s">
        <v>47</v>
      </c>
      <c r="G15" s="6">
        <v>30</v>
      </c>
      <c r="H15" s="7">
        <v>1</v>
      </c>
      <c r="I15" s="6">
        <v>30</v>
      </c>
      <c r="J15" s="5">
        <v>0</v>
      </c>
      <c r="K15" s="4">
        <f t="shared" si="0"/>
        <v>0</v>
      </c>
      <c r="L15" s="7">
        <f t="shared" si="1"/>
        <v>-1</v>
      </c>
      <c r="M15" s="6">
        <f t="shared" si="1"/>
        <v>-30</v>
      </c>
      <c r="N15" s="3">
        <v>45789</v>
      </c>
      <c r="O15" s="3">
        <v>45809</v>
      </c>
    </row>
    <row r="16" spans="1:15" x14ac:dyDescent="0.2">
      <c r="A16" s="2" t="s">
        <v>57</v>
      </c>
      <c r="B16" s="2" t="s">
        <v>58</v>
      </c>
      <c r="C16" s="2" t="s">
        <v>56</v>
      </c>
      <c r="D16" s="2" t="s">
        <v>12</v>
      </c>
      <c r="E16" s="2" t="s">
        <v>14</v>
      </c>
      <c r="F16" s="2" t="s">
        <v>14</v>
      </c>
      <c r="G16" s="6">
        <v>10</v>
      </c>
      <c r="H16" s="7">
        <v>868</v>
      </c>
      <c r="I16" s="6">
        <v>8680</v>
      </c>
      <c r="J16" s="5">
        <v>2070</v>
      </c>
      <c r="K16" s="4">
        <f t="shared" si="0"/>
        <v>20700</v>
      </c>
      <c r="L16" s="7">
        <f t="shared" si="1"/>
        <v>1202</v>
      </c>
      <c r="M16" s="6">
        <f t="shared" si="1"/>
        <v>12020</v>
      </c>
      <c r="N16" s="3">
        <v>45803</v>
      </c>
      <c r="O16" s="3">
        <v>45809</v>
      </c>
    </row>
    <row r="17" spans="1:15" x14ac:dyDescent="0.2">
      <c r="A17" s="2" t="s">
        <v>57</v>
      </c>
      <c r="B17" s="2" t="s">
        <v>58</v>
      </c>
      <c r="C17" s="2" t="s">
        <v>56</v>
      </c>
      <c r="D17" s="2" t="s">
        <v>12</v>
      </c>
      <c r="E17" s="2" t="s">
        <v>15</v>
      </c>
      <c r="F17" s="2" t="s">
        <v>15</v>
      </c>
      <c r="G17" s="6">
        <v>5</v>
      </c>
      <c r="H17" s="7">
        <v>170</v>
      </c>
      <c r="I17" s="6">
        <v>850</v>
      </c>
      <c r="J17" s="5">
        <v>0</v>
      </c>
      <c r="K17" s="4">
        <f t="shared" si="0"/>
        <v>0</v>
      </c>
      <c r="L17" s="7">
        <f t="shared" si="1"/>
        <v>-170</v>
      </c>
      <c r="M17" s="6">
        <f t="shared" si="1"/>
        <v>-850</v>
      </c>
      <c r="N17" s="3">
        <v>45803</v>
      </c>
      <c r="O17" s="3">
        <v>45809</v>
      </c>
    </row>
    <row r="18" spans="1:15" x14ac:dyDescent="0.2">
      <c r="A18" s="2" t="s">
        <v>57</v>
      </c>
      <c r="B18" s="2" t="s">
        <v>58</v>
      </c>
      <c r="C18" s="2" t="s">
        <v>56</v>
      </c>
      <c r="D18" s="2" t="s">
        <v>12</v>
      </c>
      <c r="E18" s="2" t="s">
        <v>48</v>
      </c>
      <c r="F18" s="2" t="s">
        <v>48</v>
      </c>
      <c r="G18" s="6">
        <v>20</v>
      </c>
      <c r="H18" s="7">
        <v>233</v>
      </c>
      <c r="I18" s="6">
        <v>4660</v>
      </c>
      <c r="J18" s="5">
        <v>240</v>
      </c>
      <c r="K18" s="4">
        <f t="shared" si="0"/>
        <v>4800</v>
      </c>
      <c r="L18" s="7">
        <f t="shared" ref="L18:M28" si="2">J18-H18</f>
        <v>7</v>
      </c>
      <c r="M18" s="6">
        <f t="shared" si="2"/>
        <v>140</v>
      </c>
      <c r="N18" s="3">
        <v>45803</v>
      </c>
      <c r="O18" s="3">
        <v>45809</v>
      </c>
    </row>
    <row r="19" spans="1:15" x14ac:dyDescent="0.2">
      <c r="A19" s="2" t="s">
        <v>57</v>
      </c>
      <c r="B19" s="2" t="s">
        <v>58</v>
      </c>
      <c r="C19" s="2" t="s">
        <v>56</v>
      </c>
      <c r="D19" s="2" t="s">
        <v>12</v>
      </c>
      <c r="E19" s="2" t="s">
        <v>10</v>
      </c>
      <c r="F19" s="2" t="s">
        <v>10</v>
      </c>
      <c r="G19" s="6">
        <v>10</v>
      </c>
      <c r="H19" s="7">
        <v>363</v>
      </c>
      <c r="I19" s="6">
        <v>3630</v>
      </c>
      <c r="J19" s="5">
        <v>300</v>
      </c>
      <c r="K19" s="4">
        <f t="shared" si="0"/>
        <v>3000</v>
      </c>
      <c r="L19" s="7">
        <f t="shared" si="2"/>
        <v>-63</v>
      </c>
      <c r="M19" s="6">
        <f t="shared" si="2"/>
        <v>-630</v>
      </c>
      <c r="N19" s="3">
        <v>45803</v>
      </c>
      <c r="O19" s="3">
        <v>45809</v>
      </c>
    </row>
    <row r="20" spans="1:15" x14ac:dyDescent="0.2">
      <c r="A20" s="2" t="s">
        <v>57</v>
      </c>
      <c r="B20" s="2" t="s">
        <v>58</v>
      </c>
      <c r="C20" s="2" t="s">
        <v>56</v>
      </c>
      <c r="D20" s="2" t="s">
        <v>12</v>
      </c>
      <c r="E20" s="2" t="s">
        <v>11</v>
      </c>
      <c r="F20" s="2" t="s">
        <v>11</v>
      </c>
      <c r="G20" s="6">
        <v>10</v>
      </c>
      <c r="H20" s="7">
        <v>308</v>
      </c>
      <c r="I20" s="6">
        <v>3080</v>
      </c>
      <c r="J20" s="5">
        <v>680</v>
      </c>
      <c r="K20" s="4">
        <f t="shared" si="0"/>
        <v>6800</v>
      </c>
      <c r="L20" s="7">
        <f t="shared" si="2"/>
        <v>372</v>
      </c>
      <c r="M20" s="6">
        <f t="shared" si="2"/>
        <v>3720</v>
      </c>
      <c r="N20" s="3">
        <v>45803</v>
      </c>
      <c r="O20" s="3">
        <v>45809</v>
      </c>
    </row>
    <row r="21" spans="1:15" x14ac:dyDescent="0.2">
      <c r="A21" s="2" t="s">
        <v>57</v>
      </c>
      <c r="B21" s="2" t="s">
        <v>58</v>
      </c>
      <c r="C21" s="2" t="s">
        <v>56</v>
      </c>
      <c r="D21" s="2" t="s">
        <v>12</v>
      </c>
      <c r="E21" s="2" t="s">
        <v>16</v>
      </c>
      <c r="F21" s="2" t="s">
        <v>16</v>
      </c>
      <c r="G21" s="6">
        <v>10</v>
      </c>
      <c r="H21" s="7">
        <v>33</v>
      </c>
      <c r="I21" s="6">
        <v>330</v>
      </c>
      <c r="J21" s="5">
        <v>0</v>
      </c>
      <c r="K21" s="4">
        <f t="shared" si="0"/>
        <v>0</v>
      </c>
      <c r="L21" s="7">
        <f t="shared" si="2"/>
        <v>-33</v>
      </c>
      <c r="M21" s="6">
        <f t="shared" si="2"/>
        <v>-330</v>
      </c>
      <c r="N21" s="3">
        <v>45803</v>
      </c>
      <c r="O21" s="3">
        <v>45809</v>
      </c>
    </row>
    <row r="22" spans="1:15" x14ac:dyDescent="0.2">
      <c r="A22" s="2" t="s">
        <v>57</v>
      </c>
      <c r="B22" s="2" t="s">
        <v>58</v>
      </c>
      <c r="C22" s="2" t="s">
        <v>56</v>
      </c>
      <c r="D22" s="2" t="s">
        <v>12</v>
      </c>
      <c r="E22" s="2" t="s">
        <v>17</v>
      </c>
      <c r="F22" s="2" t="s">
        <v>17</v>
      </c>
      <c r="G22" s="6">
        <v>10</v>
      </c>
      <c r="H22" s="7">
        <v>120</v>
      </c>
      <c r="I22" s="6">
        <v>1200</v>
      </c>
      <c r="J22" s="5">
        <v>0</v>
      </c>
      <c r="K22" s="4">
        <f t="shared" si="0"/>
        <v>0</v>
      </c>
      <c r="L22" s="7">
        <f t="shared" si="2"/>
        <v>-120</v>
      </c>
      <c r="M22" s="6">
        <f t="shared" si="2"/>
        <v>-1200</v>
      </c>
      <c r="N22" s="3">
        <v>45803</v>
      </c>
      <c r="O22" s="3">
        <v>45809</v>
      </c>
    </row>
    <row r="23" spans="1:15" x14ac:dyDescent="0.2">
      <c r="A23" s="2" t="s">
        <v>57</v>
      </c>
      <c r="B23" s="2" t="s">
        <v>58</v>
      </c>
      <c r="C23" s="2" t="s">
        <v>56</v>
      </c>
      <c r="D23" s="2" t="s">
        <v>12</v>
      </c>
      <c r="E23" s="2" t="s">
        <v>18</v>
      </c>
      <c r="F23" s="2" t="s">
        <v>18</v>
      </c>
      <c r="G23" s="6">
        <v>30</v>
      </c>
      <c r="H23" s="7">
        <v>183</v>
      </c>
      <c r="I23" s="6">
        <v>5490</v>
      </c>
      <c r="J23" s="5">
        <v>607</v>
      </c>
      <c r="K23" s="4">
        <f t="shared" si="0"/>
        <v>18210</v>
      </c>
      <c r="L23" s="7">
        <f t="shared" si="2"/>
        <v>424</v>
      </c>
      <c r="M23" s="6">
        <f t="shared" si="2"/>
        <v>12720</v>
      </c>
      <c r="N23" s="3">
        <v>45803</v>
      </c>
      <c r="O23" s="3">
        <v>45809</v>
      </c>
    </row>
    <row r="24" spans="1:15" x14ac:dyDescent="0.2">
      <c r="A24" s="2" t="s">
        <v>57</v>
      </c>
      <c r="B24" s="2" t="s">
        <v>58</v>
      </c>
      <c r="C24" s="2" t="s">
        <v>56</v>
      </c>
      <c r="D24" s="2" t="s">
        <v>12</v>
      </c>
      <c r="E24" s="2" t="s">
        <v>8</v>
      </c>
      <c r="F24" s="2" t="s">
        <v>8</v>
      </c>
      <c r="G24" s="6">
        <v>30</v>
      </c>
      <c r="H24" s="7">
        <v>61</v>
      </c>
      <c r="I24" s="6">
        <v>1830</v>
      </c>
      <c r="J24" s="5">
        <v>0</v>
      </c>
      <c r="K24" s="4">
        <f t="shared" si="0"/>
        <v>0</v>
      </c>
      <c r="L24" s="7">
        <f t="shared" si="2"/>
        <v>-61</v>
      </c>
      <c r="M24" s="6">
        <f t="shared" si="2"/>
        <v>-1830</v>
      </c>
      <c r="N24" s="3">
        <v>45803</v>
      </c>
      <c r="O24" s="3">
        <v>45809</v>
      </c>
    </row>
    <row r="25" spans="1:15" x14ac:dyDescent="0.2">
      <c r="A25" s="2" t="s">
        <v>57</v>
      </c>
      <c r="B25" s="2" t="s">
        <v>58</v>
      </c>
      <c r="C25" s="2" t="s">
        <v>56</v>
      </c>
      <c r="D25" s="2" t="s">
        <v>12</v>
      </c>
      <c r="E25" s="2" t="s">
        <v>9</v>
      </c>
      <c r="F25" s="2" t="s">
        <v>9</v>
      </c>
      <c r="G25" s="6">
        <v>30</v>
      </c>
      <c r="H25" s="7">
        <v>75</v>
      </c>
      <c r="I25" s="6">
        <v>2250</v>
      </c>
      <c r="J25" s="5">
        <v>0</v>
      </c>
      <c r="K25" s="4">
        <f t="shared" si="0"/>
        <v>0</v>
      </c>
      <c r="L25" s="7">
        <f t="shared" si="2"/>
        <v>-75</v>
      </c>
      <c r="M25" s="6">
        <f t="shared" si="2"/>
        <v>-2250</v>
      </c>
      <c r="N25" s="3">
        <v>45803</v>
      </c>
      <c r="O25" s="3">
        <v>45809</v>
      </c>
    </row>
    <row r="26" spans="1:15" x14ac:dyDescent="0.2">
      <c r="A26" s="2" t="s">
        <v>57</v>
      </c>
      <c r="B26" s="2" t="s">
        <v>58</v>
      </c>
      <c r="C26" s="2" t="s">
        <v>56</v>
      </c>
      <c r="D26" s="2" t="s">
        <v>12</v>
      </c>
      <c r="E26" s="2" t="s">
        <v>19</v>
      </c>
      <c r="F26" s="2" t="s">
        <v>19</v>
      </c>
      <c r="G26" s="6">
        <v>30</v>
      </c>
      <c r="H26" s="7">
        <v>244</v>
      </c>
      <c r="I26" s="6">
        <v>7320</v>
      </c>
      <c r="J26" s="5">
        <v>80</v>
      </c>
      <c r="K26" s="4">
        <f t="shared" si="0"/>
        <v>2400</v>
      </c>
      <c r="L26" s="7">
        <f t="shared" si="2"/>
        <v>-164</v>
      </c>
      <c r="M26" s="6">
        <f t="shared" si="2"/>
        <v>-4920</v>
      </c>
      <c r="N26" s="3">
        <v>45803</v>
      </c>
      <c r="O26" s="3">
        <v>45809</v>
      </c>
    </row>
    <row r="27" spans="1:15" x14ac:dyDescent="0.2">
      <c r="A27" s="2" t="s">
        <v>57</v>
      </c>
      <c r="B27" s="2" t="s">
        <v>58</v>
      </c>
      <c r="C27" s="2" t="s">
        <v>56</v>
      </c>
      <c r="D27" s="2" t="s">
        <v>12</v>
      </c>
      <c r="E27" s="2" t="s">
        <v>20</v>
      </c>
      <c r="F27" s="2" t="s">
        <v>21</v>
      </c>
      <c r="G27" s="6">
        <v>7</v>
      </c>
      <c r="H27" s="7">
        <v>41</v>
      </c>
      <c r="I27" s="6">
        <v>287</v>
      </c>
      <c r="J27" s="5">
        <v>0</v>
      </c>
      <c r="K27" s="4">
        <f t="shared" si="0"/>
        <v>0</v>
      </c>
      <c r="L27" s="7">
        <f t="shared" si="2"/>
        <v>-41</v>
      </c>
      <c r="M27" s="6">
        <f t="shared" si="2"/>
        <v>-287</v>
      </c>
      <c r="N27" s="3">
        <v>45803</v>
      </c>
      <c r="O27" s="3">
        <v>45809</v>
      </c>
    </row>
    <row r="28" spans="1:15" x14ac:dyDescent="0.2">
      <c r="A28" s="2" t="s">
        <v>57</v>
      </c>
      <c r="B28" s="2" t="s">
        <v>58</v>
      </c>
      <c r="C28" s="2" t="s">
        <v>56</v>
      </c>
      <c r="D28" s="2" t="s">
        <v>12</v>
      </c>
      <c r="E28" s="2" t="s">
        <v>22</v>
      </c>
      <c r="F28" s="2" t="s">
        <v>23</v>
      </c>
      <c r="G28" s="6">
        <v>7</v>
      </c>
      <c r="H28" s="7">
        <v>46</v>
      </c>
      <c r="I28" s="6">
        <v>322</v>
      </c>
      <c r="J28" s="5">
        <v>0</v>
      </c>
      <c r="K28" s="4">
        <f t="shared" si="0"/>
        <v>0</v>
      </c>
      <c r="L28" s="7">
        <f t="shared" si="2"/>
        <v>-46</v>
      </c>
      <c r="M28" s="6">
        <f t="shared" si="2"/>
        <v>-322</v>
      </c>
      <c r="N28" s="3">
        <v>45803</v>
      </c>
      <c r="O28" s="3">
        <v>45809</v>
      </c>
    </row>
  </sheetData>
  <autoFilter ref="A1:O28" xr:uid="{9D8A8814-1A30-4FB6-BF0C-84035BB33D3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2025-05-27T14:27:01Z</dcterms:created>
  <dcterms:modified xsi:type="dcterms:W3CDTF">2025-05-28T14:43:06Z</dcterms:modified>
  <cp:category/>
</cp:coreProperties>
</file>