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50 SD Promotions\"/>
    </mc:Choice>
  </mc:AlternateContent>
  <xr:revisionPtr revIDLastSave="0" documentId="13_ncr:1_{8D14E2E8-0E4B-4F2C-8420-6BBAED30B52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 + shipping" sheetId="14" r:id="rId1"/>
    <sheet name="As of now" sheetId="13" r:id="rId2"/>
  </sheets>
  <definedNames>
    <definedName name="_xlnm._FilterDatabase" localSheetId="1" hidden="1">'As of now'!$A$1:$N$17</definedName>
    <definedName name="_xlnm._FilterDatabase" localSheetId="0" hidden="1">'As of now + shipping'!$A$1:$N$17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4" l="1"/>
  <c r="L17" i="14" s="1"/>
  <c r="G17" i="14"/>
  <c r="J16" i="14"/>
  <c r="K16" i="14" s="1"/>
  <c r="G16" i="14"/>
  <c r="J15" i="14"/>
  <c r="L15" i="14" s="1"/>
  <c r="M15" i="14" s="1"/>
  <c r="N15" i="14" s="1"/>
  <c r="G15" i="14"/>
  <c r="J14" i="14"/>
  <c r="L14" i="14" s="1"/>
  <c r="M14" i="14" s="1"/>
  <c r="N14" i="14" s="1"/>
  <c r="G14" i="14"/>
  <c r="J13" i="14"/>
  <c r="L13" i="14" s="1"/>
  <c r="M13" i="14" s="1"/>
  <c r="N13" i="14" s="1"/>
  <c r="G13" i="14"/>
  <c r="L12" i="14"/>
  <c r="M12" i="14" s="1"/>
  <c r="N12" i="14" s="1"/>
  <c r="K12" i="14"/>
  <c r="J12" i="14"/>
  <c r="G12" i="14"/>
  <c r="J11" i="14"/>
  <c r="L11" i="14" s="1"/>
  <c r="M11" i="14" s="1"/>
  <c r="N11" i="14" s="1"/>
  <c r="G11" i="14"/>
  <c r="J10" i="14"/>
  <c r="K10" i="14" s="1"/>
  <c r="G10" i="14"/>
  <c r="J9" i="14"/>
  <c r="K9" i="14" s="1"/>
  <c r="G9" i="14"/>
  <c r="J8" i="14"/>
  <c r="L8" i="14" s="1"/>
  <c r="M8" i="14" s="1"/>
  <c r="N8" i="14" s="1"/>
  <c r="G8" i="14"/>
  <c r="L7" i="14"/>
  <c r="M7" i="14" s="1"/>
  <c r="N7" i="14" s="1"/>
  <c r="K7" i="14"/>
  <c r="J7" i="14"/>
  <c r="G7" i="14"/>
  <c r="J6" i="14"/>
  <c r="K6" i="14" s="1"/>
  <c r="G6" i="14"/>
  <c r="P5" i="14"/>
  <c r="J5" i="14"/>
  <c r="L5" i="14" s="1"/>
  <c r="G5" i="14"/>
  <c r="P4" i="14"/>
  <c r="J4" i="14"/>
  <c r="L4" i="14" s="1"/>
  <c r="G4" i="14"/>
  <c r="J3" i="14"/>
  <c r="L3" i="14" s="1"/>
  <c r="G3" i="14"/>
  <c r="P3" i="14" s="1"/>
  <c r="P2" i="14"/>
  <c r="J2" i="14"/>
  <c r="L2" i="14" s="1"/>
  <c r="Q2" i="14" s="1"/>
  <c r="R2" i="14" s="1"/>
  <c r="G2" i="14"/>
  <c r="M2" i="14" s="1"/>
  <c r="N2" i="14" s="1"/>
  <c r="J17" i="13"/>
  <c r="L17" i="13" s="1"/>
  <c r="G17" i="13"/>
  <c r="J16" i="13"/>
  <c r="L16" i="13" s="1"/>
  <c r="G16" i="13"/>
  <c r="J15" i="13"/>
  <c r="L15" i="13" s="1"/>
  <c r="G15" i="13"/>
  <c r="J14" i="13"/>
  <c r="L14" i="13" s="1"/>
  <c r="G14" i="13"/>
  <c r="J13" i="13"/>
  <c r="K13" i="13" s="1"/>
  <c r="G13" i="13"/>
  <c r="J12" i="13"/>
  <c r="L12" i="13" s="1"/>
  <c r="G12" i="13"/>
  <c r="J11" i="13"/>
  <c r="K11" i="13" s="1"/>
  <c r="G11" i="13"/>
  <c r="J10" i="13"/>
  <c r="K10" i="13" s="1"/>
  <c r="G10" i="13"/>
  <c r="J9" i="13"/>
  <c r="K9" i="13" s="1"/>
  <c r="G9" i="13"/>
  <c r="J8" i="13"/>
  <c r="K8" i="13" s="1"/>
  <c r="G8" i="13"/>
  <c r="J7" i="13"/>
  <c r="L7" i="13" s="1"/>
  <c r="Q4" i="13" s="1"/>
  <c r="G7" i="13"/>
  <c r="P4" i="13" s="1"/>
  <c r="J4" i="13"/>
  <c r="K4" i="13" s="1"/>
  <c r="G4" i="13"/>
  <c r="J6" i="13"/>
  <c r="L6" i="13" s="1"/>
  <c r="G6" i="13"/>
  <c r="J5" i="13"/>
  <c r="L5" i="13" s="1"/>
  <c r="G5" i="13"/>
  <c r="G3" i="13"/>
  <c r="J3" i="13"/>
  <c r="K3" i="13" s="1"/>
  <c r="G2" i="13"/>
  <c r="P2" i="13" s="1"/>
  <c r="J2" i="13"/>
  <c r="K2" i="13" s="1"/>
  <c r="K3" i="14" l="1"/>
  <c r="L9" i="14"/>
  <c r="L10" i="14"/>
  <c r="M10" i="14" s="1"/>
  <c r="N10" i="14" s="1"/>
  <c r="K8" i="14"/>
  <c r="K2" i="14"/>
  <c r="K15" i="14"/>
  <c r="L6" i="14"/>
  <c r="M6" i="14" s="1"/>
  <c r="N6" i="14" s="1"/>
  <c r="K11" i="14"/>
  <c r="L16" i="14"/>
  <c r="M16" i="14" s="1"/>
  <c r="N16" i="14" s="1"/>
  <c r="K13" i="14"/>
  <c r="M17" i="14"/>
  <c r="N17" i="14" s="1"/>
  <c r="M4" i="14"/>
  <c r="N4" i="14" s="1"/>
  <c r="K14" i="14"/>
  <c r="K17" i="14"/>
  <c r="M5" i="14"/>
  <c r="N5" i="14" s="1"/>
  <c r="Q4" i="14"/>
  <c r="T2" i="14" s="1"/>
  <c r="M3" i="14"/>
  <c r="N3" i="14" s="1"/>
  <c r="K5" i="14"/>
  <c r="K4" i="14"/>
  <c r="M9" i="14"/>
  <c r="N9" i="14" s="1"/>
  <c r="P5" i="13"/>
  <c r="T2" i="13"/>
  <c r="M16" i="13"/>
  <c r="N16" i="13" s="1"/>
  <c r="M12" i="13"/>
  <c r="N12" i="13" s="1"/>
  <c r="M15" i="13"/>
  <c r="N15" i="13" s="1"/>
  <c r="P3" i="13"/>
  <c r="M17" i="13"/>
  <c r="N17" i="13" s="1"/>
  <c r="K17" i="13"/>
  <c r="K16" i="13"/>
  <c r="K15" i="13"/>
  <c r="M14" i="13"/>
  <c r="N14" i="13" s="1"/>
  <c r="K14" i="13"/>
  <c r="L13" i="13"/>
  <c r="M13" i="13" s="1"/>
  <c r="N13" i="13" s="1"/>
  <c r="K12" i="13"/>
  <c r="L11" i="13"/>
  <c r="M11" i="13" s="1"/>
  <c r="N11" i="13" s="1"/>
  <c r="L10" i="13"/>
  <c r="L9" i="13"/>
  <c r="M9" i="13" s="1"/>
  <c r="N9" i="13" s="1"/>
  <c r="L8" i="13"/>
  <c r="M8" i="13" s="1"/>
  <c r="N8" i="13" s="1"/>
  <c r="M7" i="13"/>
  <c r="N7" i="13" s="1"/>
  <c r="K7" i="13"/>
  <c r="L4" i="13"/>
  <c r="M4" i="13" s="1"/>
  <c r="N4" i="13" s="1"/>
  <c r="M6" i="13"/>
  <c r="N6" i="13" s="1"/>
  <c r="M5" i="13"/>
  <c r="N5" i="13" s="1"/>
  <c r="K5" i="13"/>
  <c r="K6" i="13"/>
  <c r="L3" i="13"/>
  <c r="L2" i="13"/>
  <c r="Q2" i="13" s="1"/>
  <c r="Q5" i="14" l="1"/>
  <c r="U2" i="14" s="1"/>
  <c r="Q3" i="14"/>
  <c r="S2" i="14" s="1"/>
  <c r="M10" i="13"/>
  <c r="N10" i="13" s="1"/>
  <c r="Q5" i="13"/>
  <c r="U2" i="13" s="1"/>
  <c r="Q3" i="13"/>
  <c r="S2" i="13" s="1"/>
  <c r="R2" i="13"/>
  <c r="M3" i="13"/>
  <c r="N3" i="13" s="1"/>
  <c r="M2" i="13"/>
  <c r="N2" i="13" s="1"/>
</calcChain>
</file>

<file path=xl/sharedStrings.xml><?xml version="1.0" encoding="utf-8"?>
<sst xmlns="http://schemas.openxmlformats.org/spreadsheetml/2006/main" count="156" uniqueCount="32">
  <si>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</si>
  <si>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</si>
  <si>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</si>
  <si>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</si>
  <si>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</si>
  <si>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</si>
  <si>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</si>
  <si>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</si>
  <si>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</si>
  <si>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</si>
  <si>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</si>
  <si>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</si>
  <si>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</si>
  <si>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</si>
  <si>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G-A06</t>
  </si>
  <si>
    <t>G-A07</t>
  </si>
  <si>
    <t>G-A16</t>
  </si>
  <si>
    <t>G-A17</t>
  </si>
  <si>
    <t>G-S25</t>
  </si>
  <si>
    <t>G-S25+</t>
  </si>
  <si>
    <t>G-A26-5G</t>
  </si>
  <si>
    <t>G-A36-5G</t>
  </si>
  <si>
    <t>G-A56-5G</t>
  </si>
  <si>
    <t>A0S3A0A250001175</t>
  </si>
  <si>
    <t>W48-W50 A11 OM ST</t>
  </si>
  <si>
    <t>G-TAB-A11</t>
  </si>
  <si>
    <t>A0S3A0A250001181</t>
  </si>
  <si>
    <t>W48-W50 A Series Peak Season ST</t>
  </si>
  <si>
    <t>A0S3A0A250001220</t>
  </si>
  <si>
    <t>A0S3A0A250001224</t>
  </si>
  <si>
    <t>W50 Sell-Thru</t>
  </si>
  <si>
    <t>W50 S25 Ultra OM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</si>
</sst>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0" fontId="2" fillId="5" borderId="1" xfId="0" quotePrefix="1" applyFont="1" applyFill="1" applyBorder="1"/>
    <xf numFmtId="3" fontId="0" fillId="4" borderId="1" xfId="0" applyNumberFormat="1" applyFill="1" applyBorder="1"/>
  </cellXfs>
  <cellStyles count="2">
    <cellStyle name="Currency" xfId="1" builtinId="4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3AEA-337B-4344-9A49-6E9D0A3B5E28}">
  <dimension ref="A1:U21"/>
  <sheetViews>
    <sheetView showGridLines="0" tabSelected="1" topLeftCell="B1" zoomScale="130" zoomScaleNormal="130" workbookViewId="0">
      <pane ySplit="1" topLeftCell="A2" activePane="bottomLeft" state="frozen"/>
      <selection pane="bottomLeft" activeCell="D9" sqref="D9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7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2" bestFit="1" customWidth="1"/>
    <col min="21" max="21" width="11.42578125" bestFit="1" customWidth="1"/>
  </cols>
  <sheetData>
    <row r="1" spans="1:2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1175</v>
      </c>
      <c r="S1" s="11">
        <v>1181</v>
      </c>
      <c r="T1" s="11">
        <v>1220</v>
      </c>
      <c r="U1" s="11">
        <v>1224</v>
      </c>
    </row>
    <row r="2" spans="1:21" ht="18" customHeight="1" x14ac:dyDescent="0.2">
      <c r="A2" s="14" t="s">
        <v>23</v>
      </c>
      <c r="B2" s="14" t="s">
        <v>24</v>
      </c>
      <c r="C2" s="14" t="s">
        <v>25</v>
      </c>
      <c r="D2" s="14" t="s">
        <v>25</v>
      </c>
      <c r="E2" s="2">
        <v>13</v>
      </c>
      <c r="F2" s="16">
        <v>500</v>
      </c>
      <c r="G2" s="2">
        <f t="shared" ref="G2:G17" si="0">E2*F2</f>
        <v>6500</v>
      </c>
      <c r="H2" s="3">
        <v>300</v>
      </c>
      <c r="I2" s="3">
        <v>910</v>
      </c>
      <c r="J2" s="3">
        <f t="shared" ref="J2:J17" si="1">H2+I2</f>
        <v>1210</v>
      </c>
      <c r="K2" s="3">
        <f t="shared" ref="K2:K17" si="2">F2-J2</f>
        <v>-710</v>
      </c>
      <c r="L2" s="4">
        <f t="shared" ref="L2:L17" si="3">J2*E2</f>
        <v>15730</v>
      </c>
      <c r="M2" s="4">
        <f t="shared" ref="M2:M17" si="4">G2-L2</f>
        <v>-9230</v>
      </c>
      <c r="N2" s="13" t="str">
        <f t="shared" ref="N2:N17" si="5">IF(M2&gt;0,"KEEP SELLING", "DO NOT SELL")</f>
        <v>DO NOT SELL</v>
      </c>
      <c r="P2" s="10">
        <f>SUM(G2:G2)</f>
        <v>6500</v>
      </c>
      <c r="Q2" s="9">
        <f>SUM(L2:L2)</f>
        <v>15730</v>
      </c>
      <c r="R2" s="12">
        <f>P2-Q2</f>
        <v>-9230</v>
      </c>
      <c r="S2" s="12">
        <f>P3-Q3</f>
        <v>-29264</v>
      </c>
      <c r="T2" s="12">
        <f>P4-Q4</f>
        <v>13850</v>
      </c>
      <c r="U2" s="12">
        <f>P5-Q5</f>
        <v>13590</v>
      </c>
    </row>
    <row r="3" spans="1:21" ht="18" customHeight="1" x14ac:dyDescent="0.2">
      <c r="A3" s="14" t="s">
        <v>26</v>
      </c>
      <c r="B3" s="14" t="s">
        <v>27</v>
      </c>
      <c r="C3" s="14" t="s">
        <v>16</v>
      </c>
      <c r="D3" s="14" t="s">
        <v>16</v>
      </c>
      <c r="E3" s="2">
        <v>4</v>
      </c>
      <c r="F3" s="16">
        <v>9000</v>
      </c>
      <c r="G3" s="2">
        <f t="shared" si="0"/>
        <v>36000</v>
      </c>
      <c r="H3" s="3">
        <v>9000</v>
      </c>
      <c r="I3" s="3">
        <v>6540</v>
      </c>
      <c r="J3" s="3">
        <f t="shared" si="1"/>
        <v>15540</v>
      </c>
      <c r="K3" s="3">
        <f t="shared" si="2"/>
        <v>-6540</v>
      </c>
      <c r="L3" s="4">
        <f t="shared" si="3"/>
        <v>62160</v>
      </c>
      <c r="M3" s="4">
        <f t="shared" si="4"/>
        <v>-26160</v>
      </c>
      <c r="N3" s="13" t="str">
        <f t="shared" si="5"/>
        <v>DO NOT SELL</v>
      </c>
      <c r="P3" s="10">
        <f>SUM(G3:G6)</f>
        <v>41744</v>
      </c>
      <c r="Q3" s="9">
        <f>SUM(L3:L6)</f>
        <v>71008</v>
      </c>
    </row>
    <row r="4" spans="1:21" ht="18" customHeight="1" x14ac:dyDescent="0.2">
      <c r="A4" s="14" t="s">
        <v>26</v>
      </c>
      <c r="B4" s="14" t="s">
        <v>27</v>
      </c>
      <c r="C4" s="14" t="s">
        <v>20</v>
      </c>
      <c r="D4" s="14" t="s">
        <v>20</v>
      </c>
      <c r="E4" s="2">
        <v>4</v>
      </c>
      <c r="F4" s="16">
        <v>172</v>
      </c>
      <c r="G4" s="2">
        <f t="shared" si="0"/>
        <v>688</v>
      </c>
      <c r="H4" s="3">
        <v>172</v>
      </c>
      <c r="I4" s="3">
        <v>170</v>
      </c>
      <c r="J4" s="3">
        <f t="shared" si="1"/>
        <v>342</v>
      </c>
      <c r="K4" s="3">
        <f t="shared" si="2"/>
        <v>-170</v>
      </c>
      <c r="L4" s="4">
        <f t="shared" si="3"/>
        <v>1368</v>
      </c>
      <c r="M4" s="4">
        <f t="shared" si="4"/>
        <v>-680</v>
      </c>
      <c r="N4" s="13" t="str">
        <f t="shared" si="5"/>
        <v>DO NOT SELL</v>
      </c>
      <c r="P4" s="10">
        <f>SUM(G7)</f>
        <v>75200</v>
      </c>
      <c r="Q4" s="9">
        <f>SUM(L7:L7)</f>
        <v>61350</v>
      </c>
    </row>
    <row r="5" spans="1:21" ht="18" customHeight="1" x14ac:dyDescent="0.2">
      <c r="A5" s="14" t="s">
        <v>26</v>
      </c>
      <c r="B5" s="14" t="s">
        <v>27</v>
      </c>
      <c r="C5" s="14" t="s">
        <v>21</v>
      </c>
      <c r="D5" s="14" t="s">
        <v>21</v>
      </c>
      <c r="E5" s="2">
        <v>4</v>
      </c>
      <c r="F5" s="16">
        <v>365</v>
      </c>
      <c r="G5" s="2">
        <f t="shared" si="0"/>
        <v>1460</v>
      </c>
      <c r="H5" s="3">
        <v>365</v>
      </c>
      <c r="I5" s="3">
        <v>355</v>
      </c>
      <c r="J5" s="3">
        <f t="shared" si="1"/>
        <v>720</v>
      </c>
      <c r="K5" s="3">
        <f t="shared" si="2"/>
        <v>-355</v>
      </c>
      <c r="L5" s="4">
        <f t="shared" si="3"/>
        <v>2880</v>
      </c>
      <c r="M5" s="4">
        <f t="shared" si="4"/>
        <v>-1420</v>
      </c>
      <c r="N5" s="13" t="str">
        <f t="shared" si="5"/>
        <v>DO NOT SELL</v>
      </c>
      <c r="P5" s="10">
        <f>SUM(G8:G17)</f>
        <v>101790</v>
      </c>
      <c r="Q5" s="9">
        <f>SUM(L8:L17)</f>
        <v>88200</v>
      </c>
    </row>
    <row r="6" spans="1:21" ht="18" customHeight="1" x14ac:dyDescent="0.2">
      <c r="A6" s="14" t="s">
        <v>26</v>
      </c>
      <c r="B6" s="14" t="s">
        <v>27</v>
      </c>
      <c r="C6" s="14" t="s">
        <v>22</v>
      </c>
      <c r="D6" s="14" t="s">
        <v>22</v>
      </c>
      <c r="E6" s="2">
        <v>4</v>
      </c>
      <c r="F6" s="16">
        <v>899</v>
      </c>
      <c r="G6" s="2">
        <f t="shared" si="0"/>
        <v>3596</v>
      </c>
      <c r="H6" s="3">
        <v>659</v>
      </c>
      <c r="I6" s="3">
        <v>491</v>
      </c>
      <c r="J6" s="3">
        <f t="shared" si="1"/>
        <v>1150</v>
      </c>
      <c r="K6" s="3">
        <f t="shared" si="2"/>
        <v>-251</v>
      </c>
      <c r="L6" s="4">
        <f t="shared" si="3"/>
        <v>4600</v>
      </c>
      <c r="M6" s="4">
        <f t="shared" si="4"/>
        <v>-1004</v>
      </c>
      <c r="N6" s="13" t="str">
        <f t="shared" si="5"/>
        <v>DO NOT SELL</v>
      </c>
    </row>
    <row r="7" spans="1:21" ht="18" customHeight="1" x14ac:dyDescent="0.2">
      <c r="A7" s="14" t="s">
        <v>28</v>
      </c>
      <c r="B7" s="14" t="s">
        <v>31</v>
      </c>
      <c r="C7" s="14" t="s">
        <v>13</v>
      </c>
      <c r="D7" s="14" t="s">
        <v>13</v>
      </c>
      <c r="E7" s="2">
        <v>50</v>
      </c>
      <c r="F7" s="16">
        <v>1504</v>
      </c>
      <c r="G7" s="2">
        <f t="shared" si="0"/>
        <v>75200</v>
      </c>
      <c r="H7" s="3">
        <v>295</v>
      </c>
      <c r="I7" s="3">
        <v>932</v>
      </c>
      <c r="J7" s="3">
        <f t="shared" si="1"/>
        <v>1227</v>
      </c>
      <c r="K7" s="3">
        <f t="shared" si="2"/>
        <v>277</v>
      </c>
      <c r="L7" s="4">
        <f t="shared" si="3"/>
        <v>61350</v>
      </c>
      <c r="M7" s="4">
        <f t="shared" si="4"/>
        <v>13850</v>
      </c>
      <c r="N7" s="13" t="str">
        <f t="shared" si="5"/>
        <v>KEEP SELLING</v>
      </c>
    </row>
    <row r="8" spans="1:21" ht="18" customHeight="1" x14ac:dyDescent="0.2">
      <c r="A8" s="14" t="s">
        <v>29</v>
      </c>
      <c r="B8" s="14" t="s">
        <v>30</v>
      </c>
      <c r="C8" s="14" t="s">
        <v>14</v>
      </c>
      <c r="D8" s="14" t="s">
        <v>14</v>
      </c>
      <c r="E8" s="2">
        <v>10</v>
      </c>
      <c r="F8" s="16">
        <v>0</v>
      </c>
      <c r="G8" s="2">
        <f t="shared" si="0"/>
        <v>0</v>
      </c>
      <c r="H8" s="3"/>
      <c r="I8" s="3"/>
      <c r="J8" s="3">
        <f t="shared" si="1"/>
        <v>0</v>
      </c>
      <c r="K8" s="3">
        <f t="shared" si="2"/>
        <v>0</v>
      </c>
      <c r="L8" s="4">
        <f t="shared" si="3"/>
        <v>0</v>
      </c>
      <c r="M8" s="4">
        <f t="shared" si="4"/>
        <v>0</v>
      </c>
      <c r="N8" s="13" t="str">
        <f t="shared" si="5"/>
        <v>DO NOT SELL</v>
      </c>
    </row>
    <row r="9" spans="1:21" ht="18" customHeight="1" x14ac:dyDescent="0.2">
      <c r="A9" s="14" t="s">
        <v>29</v>
      </c>
      <c r="B9" s="14" t="s">
        <v>30</v>
      </c>
      <c r="C9" s="14" t="s">
        <v>15</v>
      </c>
      <c r="D9" s="14" t="s">
        <v>15</v>
      </c>
      <c r="E9" s="2">
        <v>10</v>
      </c>
      <c r="F9" s="16">
        <v>0</v>
      </c>
      <c r="G9" s="2">
        <f t="shared" si="0"/>
        <v>0</v>
      </c>
      <c r="H9" s="3"/>
      <c r="I9" s="3"/>
      <c r="J9" s="3">
        <f t="shared" si="1"/>
        <v>0</v>
      </c>
      <c r="K9" s="3">
        <f t="shared" si="2"/>
        <v>0</v>
      </c>
      <c r="L9" s="4">
        <f t="shared" si="3"/>
        <v>0</v>
      </c>
      <c r="M9" s="4">
        <f t="shared" si="4"/>
        <v>0</v>
      </c>
      <c r="N9" s="13" t="str">
        <f t="shared" si="5"/>
        <v>DO NOT SELL</v>
      </c>
    </row>
    <row r="10" spans="1:21" ht="18" customHeight="1" x14ac:dyDescent="0.2">
      <c r="A10" s="14" t="s">
        <v>29</v>
      </c>
      <c r="B10" s="14" t="s">
        <v>30</v>
      </c>
      <c r="C10" s="14" t="s">
        <v>16</v>
      </c>
      <c r="D10" s="14" t="s">
        <v>16</v>
      </c>
      <c r="E10" s="2">
        <v>10</v>
      </c>
      <c r="F10" s="16">
        <v>1800</v>
      </c>
      <c r="G10" s="2">
        <f t="shared" si="0"/>
        <v>18000</v>
      </c>
      <c r="H10" s="3">
        <v>1300</v>
      </c>
      <c r="I10" s="3"/>
      <c r="J10" s="3">
        <f t="shared" si="1"/>
        <v>1300</v>
      </c>
      <c r="K10" s="3">
        <f t="shared" si="2"/>
        <v>500</v>
      </c>
      <c r="L10" s="4">
        <f t="shared" si="3"/>
        <v>13000</v>
      </c>
      <c r="M10" s="4">
        <f t="shared" si="4"/>
        <v>5000</v>
      </c>
      <c r="N10" s="13" t="str">
        <f t="shared" si="5"/>
        <v>KEEP SELLING</v>
      </c>
    </row>
    <row r="11" spans="1:21" ht="18" customHeight="1" x14ac:dyDescent="0.2">
      <c r="A11" s="14" t="s">
        <v>29</v>
      </c>
      <c r="B11" s="14" t="s">
        <v>30</v>
      </c>
      <c r="C11" s="14" t="s">
        <v>17</v>
      </c>
      <c r="D11" s="14" t="s">
        <v>17</v>
      </c>
      <c r="E11" s="2">
        <v>10</v>
      </c>
      <c r="F11" s="16">
        <v>1191</v>
      </c>
      <c r="G11" s="2">
        <f t="shared" si="0"/>
        <v>11910</v>
      </c>
      <c r="H11" s="3">
        <v>1011</v>
      </c>
      <c r="I11" s="3">
        <v>80</v>
      </c>
      <c r="J11" s="3">
        <f t="shared" si="1"/>
        <v>1091</v>
      </c>
      <c r="K11" s="3">
        <f t="shared" si="2"/>
        <v>100</v>
      </c>
      <c r="L11" s="4">
        <f t="shared" si="3"/>
        <v>10910</v>
      </c>
      <c r="M11" s="4">
        <f t="shared" si="4"/>
        <v>1000</v>
      </c>
      <c r="N11" s="13" t="str">
        <f t="shared" si="5"/>
        <v>KEEP SELLING</v>
      </c>
    </row>
    <row r="12" spans="1:21" ht="18" customHeight="1" x14ac:dyDescent="0.2">
      <c r="A12" s="14" t="s">
        <v>29</v>
      </c>
      <c r="B12" s="14" t="s">
        <v>30</v>
      </c>
      <c r="C12" s="14" t="s">
        <v>20</v>
      </c>
      <c r="D12" s="14" t="s">
        <v>20</v>
      </c>
      <c r="E12" s="2">
        <v>10</v>
      </c>
      <c r="F12" s="16">
        <v>440</v>
      </c>
      <c r="G12" s="2">
        <f t="shared" si="0"/>
        <v>4400</v>
      </c>
      <c r="H12" s="3">
        <v>240</v>
      </c>
      <c r="I12" s="3"/>
      <c r="J12" s="3">
        <f t="shared" si="1"/>
        <v>240</v>
      </c>
      <c r="K12" s="3">
        <f t="shared" si="2"/>
        <v>200</v>
      </c>
      <c r="L12" s="4">
        <f t="shared" si="3"/>
        <v>2400</v>
      </c>
      <c r="M12" s="4">
        <f t="shared" si="4"/>
        <v>2000</v>
      </c>
      <c r="N12" s="13" t="str">
        <f t="shared" si="5"/>
        <v>KEEP SELLING</v>
      </c>
    </row>
    <row r="13" spans="1:21" ht="18" customHeight="1" x14ac:dyDescent="0.2">
      <c r="A13" s="14" t="s">
        <v>29</v>
      </c>
      <c r="B13" s="14" t="s">
        <v>30</v>
      </c>
      <c r="C13" s="14" t="s">
        <v>21</v>
      </c>
      <c r="D13" s="14" t="s">
        <v>21</v>
      </c>
      <c r="E13" s="2">
        <v>10</v>
      </c>
      <c r="F13" s="16">
        <v>500</v>
      </c>
      <c r="G13" s="2">
        <f t="shared" si="0"/>
        <v>5000</v>
      </c>
      <c r="H13" s="3">
        <v>464</v>
      </c>
      <c r="I13" s="3">
        <v>60</v>
      </c>
      <c r="J13" s="3">
        <f t="shared" si="1"/>
        <v>524</v>
      </c>
      <c r="K13" s="3">
        <f t="shared" si="2"/>
        <v>-24</v>
      </c>
      <c r="L13" s="4">
        <f t="shared" si="3"/>
        <v>5240</v>
      </c>
      <c r="M13" s="4">
        <f t="shared" si="4"/>
        <v>-240</v>
      </c>
      <c r="N13" s="13" t="str">
        <f t="shared" si="5"/>
        <v>DO NOT SELL</v>
      </c>
    </row>
    <row r="14" spans="1:21" ht="18" customHeight="1" x14ac:dyDescent="0.2">
      <c r="A14" s="14" t="s">
        <v>29</v>
      </c>
      <c r="B14" s="14" t="s">
        <v>30</v>
      </c>
      <c r="C14" s="14" t="s">
        <v>22</v>
      </c>
      <c r="D14" s="14" t="s">
        <v>22</v>
      </c>
      <c r="E14" s="2">
        <v>10</v>
      </c>
      <c r="F14" s="16">
        <v>1300</v>
      </c>
      <c r="G14" s="2">
        <f t="shared" si="0"/>
        <v>13000</v>
      </c>
      <c r="H14" s="3">
        <v>1271</v>
      </c>
      <c r="I14" s="3">
        <v>60</v>
      </c>
      <c r="J14" s="3">
        <f t="shared" si="1"/>
        <v>1331</v>
      </c>
      <c r="K14" s="3">
        <f t="shared" si="2"/>
        <v>-31</v>
      </c>
      <c r="L14" s="4">
        <f t="shared" si="3"/>
        <v>13310</v>
      </c>
      <c r="M14" s="4">
        <f t="shared" si="4"/>
        <v>-310</v>
      </c>
      <c r="N14" s="13" t="str">
        <f t="shared" si="5"/>
        <v>DO NOT SELL</v>
      </c>
    </row>
    <row r="15" spans="1:21" ht="18" customHeight="1" x14ac:dyDescent="0.2">
      <c r="A15" s="14" t="s">
        <v>29</v>
      </c>
      <c r="B15" s="14" t="s">
        <v>30</v>
      </c>
      <c r="C15" s="14" t="s">
        <v>18</v>
      </c>
      <c r="D15" s="14" t="s">
        <v>18</v>
      </c>
      <c r="E15" s="2">
        <v>30</v>
      </c>
      <c r="F15" s="16">
        <v>180</v>
      </c>
      <c r="G15" s="2">
        <f t="shared" si="0"/>
        <v>5400</v>
      </c>
      <c r="H15" s="3">
        <v>160</v>
      </c>
      <c r="I15" s="3"/>
      <c r="J15" s="3">
        <f t="shared" si="1"/>
        <v>160</v>
      </c>
      <c r="K15" s="3">
        <f t="shared" si="2"/>
        <v>20</v>
      </c>
      <c r="L15" s="4">
        <f t="shared" si="3"/>
        <v>4800</v>
      </c>
      <c r="M15" s="4">
        <f t="shared" si="4"/>
        <v>600</v>
      </c>
      <c r="N15" s="13" t="str">
        <f t="shared" si="5"/>
        <v>KEEP SELLING</v>
      </c>
    </row>
    <row r="16" spans="1:21" ht="18" customHeight="1" x14ac:dyDescent="0.2">
      <c r="A16" s="14" t="s">
        <v>29</v>
      </c>
      <c r="B16" s="14" t="s">
        <v>30</v>
      </c>
      <c r="C16" s="14" t="s">
        <v>19</v>
      </c>
      <c r="D16" s="14" t="s">
        <v>19</v>
      </c>
      <c r="E16" s="2">
        <v>30</v>
      </c>
      <c r="F16" s="16">
        <v>200</v>
      </c>
      <c r="G16" s="2">
        <f t="shared" si="0"/>
        <v>6000</v>
      </c>
      <c r="H16" s="3">
        <v>186</v>
      </c>
      <c r="I16" s="3"/>
      <c r="J16" s="3">
        <f t="shared" si="1"/>
        <v>186</v>
      </c>
      <c r="K16" s="3">
        <f t="shared" si="2"/>
        <v>14</v>
      </c>
      <c r="L16" s="4">
        <f t="shared" si="3"/>
        <v>5580</v>
      </c>
      <c r="M16" s="4">
        <f t="shared" si="4"/>
        <v>420</v>
      </c>
      <c r="N16" s="13" t="str">
        <f t="shared" si="5"/>
        <v>KEEP SELLING</v>
      </c>
    </row>
    <row r="17" spans="1:14" ht="18" customHeight="1" x14ac:dyDescent="0.2">
      <c r="A17" s="14" t="s">
        <v>29</v>
      </c>
      <c r="B17" s="14" t="s">
        <v>30</v>
      </c>
      <c r="C17" s="14" t="s">
        <v>13</v>
      </c>
      <c r="D17" s="14" t="s">
        <v>13</v>
      </c>
      <c r="E17" s="2">
        <v>80</v>
      </c>
      <c r="F17" s="16">
        <v>476</v>
      </c>
      <c r="G17" s="2">
        <f t="shared" si="0"/>
        <v>38080</v>
      </c>
      <c r="H17" s="3">
        <v>315</v>
      </c>
      <c r="I17" s="3">
        <v>97</v>
      </c>
      <c r="J17" s="3">
        <f t="shared" si="1"/>
        <v>412</v>
      </c>
      <c r="K17" s="3">
        <f t="shared" si="2"/>
        <v>64</v>
      </c>
      <c r="L17" s="4">
        <f t="shared" si="3"/>
        <v>32960</v>
      </c>
      <c r="M17" s="4">
        <f t="shared" si="4"/>
        <v>5120</v>
      </c>
      <c r="N17" s="13" t="str">
        <f t="shared" si="5"/>
        <v>KEEP SELLING</v>
      </c>
    </row>
    <row r="20" spans="1:14" ht="18" customHeight="1" x14ac:dyDescent="0.2">
      <c r="E20" s="8"/>
    </row>
    <row r="21" spans="1:14" ht="18" customHeight="1" x14ac:dyDescent="0.2">
      <c r="E21" s="8"/>
    </row>
  </sheetData>
  <autoFilter ref="A1:N17" xr:uid="{824B3D37-9A6F-4650-B475-D01F00096AE9}"/>
  <conditionalFormatting sqref="H2:I17 K2:N17">
    <cfRule type="cellIs" dxfId="5" priority="1" operator="lessThan">
      <formula>0</formula>
    </cfRule>
  </conditionalFormatting>
  <conditionalFormatting sqref="N1:N1048576">
    <cfRule type="containsText" dxfId="4" priority="2" operator="containsText" text="DO NOT SELL">
      <formula>NOT(ISERROR(SEARCH("DO NOT SELL",N1)))</formula>
    </cfRule>
    <cfRule type="containsText" dxfId="3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U21"/>
  <sheetViews>
    <sheetView showGridLines="0" topLeftCell="B1" zoomScale="130" zoomScaleNormal="130" workbookViewId="0">
      <pane ySplit="1" topLeftCell="A2" activePane="bottomLeft" state="frozen"/>
      <selection pane="bottomLeft" activeCell="K4" sqref="K4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7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2" bestFit="1" customWidth="1"/>
    <col min="21" max="21" width="11.42578125" bestFit="1" customWidth="1"/>
  </cols>
  <sheetData>
    <row r="1" spans="1:2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1175</v>
      </c>
      <c r="S1" s="11">
        <v>1181</v>
      </c>
      <c r="T1" s="11">
        <v>1220</v>
      </c>
      <c r="U1" s="11">
        <v>1224</v>
      </c>
    </row>
    <row r="2" spans="1:21" ht="18" customHeight="1" x14ac:dyDescent="0.2">
      <c r="A2" s="14" t="s">
        <v>23</v>
      </c>
      <c r="B2" s="14" t="s">
        <v>24</v>
      </c>
      <c r="C2" s="14" t="s">
        <v>25</v>
      </c>
      <c r="D2" s="14" t="s">
        <v>25</v>
      </c>
      <c r="E2" s="2">
        <v>13</v>
      </c>
      <c r="F2" s="16">
        <v>500</v>
      </c>
      <c r="G2" s="2">
        <f t="shared" ref="G2:G6" si="0">E2*F2</f>
        <v>6500</v>
      </c>
      <c r="H2" s="3">
        <v>300</v>
      </c>
      <c r="I2" s="3"/>
      <c r="J2" s="3">
        <f t="shared" ref="J2:J6" si="1">H2+I2</f>
        <v>300</v>
      </c>
      <c r="K2" s="3">
        <f t="shared" ref="K2:K6" si="2">F2-J2</f>
        <v>200</v>
      </c>
      <c r="L2" s="4">
        <f t="shared" ref="L2:L6" si="3">J2*E2</f>
        <v>3900</v>
      </c>
      <c r="M2" s="4">
        <f t="shared" ref="M2:M6" si="4">G2-L2</f>
        <v>2600</v>
      </c>
      <c r="N2" s="13" t="str">
        <f t="shared" ref="N2:N6" si="5">IF(M2&gt;0,"KEEP SELLING", "DO NOT SELL")</f>
        <v>KEEP SELLING</v>
      </c>
      <c r="P2" s="10">
        <f>SUM(G2:G2)</f>
        <v>6500</v>
      </c>
      <c r="Q2" s="9">
        <f>SUM(L2:L2)</f>
        <v>3900</v>
      </c>
      <c r="R2" s="12">
        <f>P2-Q2</f>
        <v>2600</v>
      </c>
      <c r="S2" s="12">
        <f>P3-Q3</f>
        <v>960</v>
      </c>
      <c r="T2" s="12">
        <f>P4-Q4</f>
        <v>60450</v>
      </c>
      <c r="U2" s="12">
        <f>P5-Q5</f>
        <v>23350</v>
      </c>
    </row>
    <row r="3" spans="1:21" ht="18" customHeight="1" x14ac:dyDescent="0.2">
      <c r="A3" s="14" t="s">
        <v>26</v>
      </c>
      <c r="B3" s="14" t="s">
        <v>27</v>
      </c>
      <c r="C3" s="14" t="s">
        <v>16</v>
      </c>
      <c r="D3" s="14" t="s">
        <v>16</v>
      </c>
      <c r="E3" s="2">
        <v>4</v>
      </c>
      <c r="F3" s="16">
        <v>9000</v>
      </c>
      <c r="G3" s="2">
        <f t="shared" si="0"/>
        <v>36000</v>
      </c>
      <c r="H3" s="3">
        <v>9000</v>
      </c>
      <c r="I3" s="3"/>
      <c r="J3" s="3">
        <f t="shared" si="1"/>
        <v>9000</v>
      </c>
      <c r="K3" s="3">
        <f t="shared" si="2"/>
        <v>0</v>
      </c>
      <c r="L3" s="4">
        <f t="shared" si="3"/>
        <v>36000</v>
      </c>
      <c r="M3" s="4">
        <f t="shared" si="4"/>
        <v>0</v>
      </c>
      <c r="N3" s="13" t="str">
        <f t="shared" si="5"/>
        <v>DO NOT SELL</v>
      </c>
      <c r="P3" s="10">
        <f>SUM(G3:G6)</f>
        <v>41744</v>
      </c>
      <c r="Q3" s="9">
        <f>SUM(L3:L6)</f>
        <v>40784</v>
      </c>
    </row>
    <row r="4" spans="1:21" ht="18" customHeight="1" x14ac:dyDescent="0.2">
      <c r="A4" s="14" t="s">
        <v>26</v>
      </c>
      <c r="B4" s="14" t="s">
        <v>27</v>
      </c>
      <c r="C4" s="14" t="s">
        <v>20</v>
      </c>
      <c r="D4" s="14" t="s">
        <v>20</v>
      </c>
      <c r="E4" s="2">
        <v>4</v>
      </c>
      <c r="F4" s="16">
        <v>172</v>
      </c>
      <c r="G4" s="2">
        <f t="shared" si="0"/>
        <v>688</v>
      </c>
      <c r="H4" s="3">
        <v>172</v>
      </c>
      <c r="I4" s="3"/>
      <c r="J4" s="3">
        <f t="shared" si="1"/>
        <v>172</v>
      </c>
      <c r="K4" s="3">
        <f t="shared" si="2"/>
        <v>0</v>
      </c>
      <c r="L4" s="4">
        <f t="shared" si="3"/>
        <v>688</v>
      </c>
      <c r="M4" s="4">
        <f t="shared" si="4"/>
        <v>0</v>
      </c>
      <c r="N4" s="13" t="str">
        <f t="shared" si="5"/>
        <v>DO NOT SELL</v>
      </c>
      <c r="P4" s="10">
        <f>SUM(G7)</f>
        <v>75200</v>
      </c>
      <c r="Q4" s="9">
        <f>SUM(L7:L7)</f>
        <v>14750</v>
      </c>
    </row>
    <row r="5" spans="1:21" ht="18" customHeight="1" x14ac:dyDescent="0.2">
      <c r="A5" s="14" t="s">
        <v>26</v>
      </c>
      <c r="B5" s="14" t="s">
        <v>27</v>
      </c>
      <c r="C5" s="14" t="s">
        <v>21</v>
      </c>
      <c r="D5" s="14" t="s">
        <v>21</v>
      </c>
      <c r="E5" s="2">
        <v>4</v>
      </c>
      <c r="F5" s="16">
        <v>365</v>
      </c>
      <c r="G5" s="2">
        <f t="shared" si="0"/>
        <v>1460</v>
      </c>
      <c r="H5" s="3">
        <v>365</v>
      </c>
      <c r="I5" s="3"/>
      <c r="J5" s="3">
        <f t="shared" si="1"/>
        <v>365</v>
      </c>
      <c r="K5" s="3">
        <f t="shared" si="2"/>
        <v>0</v>
      </c>
      <c r="L5" s="4">
        <f t="shared" si="3"/>
        <v>1460</v>
      </c>
      <c r="M5" s="4">
        <f t="shared" si="4"/>
        <v>0</v>
      </c>
      <c r="N5" s="13" t="str">
        <f t="shared" si="5"/>
        <v>DO NOT SELL</v>
      </c>
      <c r="P5" s="10">
        <f>SUM(G8:G17)</f>
        <v>101790</v>
      </c>
      <c r="Q5" s="9">
        <f>SUM(L8:L17)</f>
        <v>78440</v>
      </c>
    </row>
    <row r="6" spans="1:21" ht="18" customHeight="1" x14ac:dyDescent="0.2">
      <c r="A6" s="14" t="s">
        <v>26</v>
      </c>
      <c r="B6" s="14" t="s">
        <v>27</v>
      </c>
      <c r="C6" s="14" t="s">
        <v>22</v>
      </c>
      <c r="D6" s="14" t="s">
        <v>22</v>
      </c>
      <c r="E6" s="2">
        <v>4</v>
      </c>
      <c r="F6" s="16">
        <v>899</v>
      </c>
      <c r="G6" s="2">
        <f t="shared" si="0"/>
        <v>3596</v>
      </c>
      <c r="H6" s="3">
        <v>659</v>
      </c>
      <c r="I6" s="3"/>
      <c r="J6" s="3">
        <f t="shared" si="1"/>
        <v>659</v>
      </c>
      <c r="K6" s="3">
        <f t="shared" si="2"/>
        <v>240</v>
      </c>
      <c r="L6" s="4">
        <f t="shared" si="3"/>
        <v>2636</v>
      </c>
      <c r="M6" s="4">
        <f t="shared" si="4"/>
        <v>960</v>
      </c>
      <c r="N6" s="13" t="str">
        <f t="shared" si="5"/>
        <v>KEEP SELLING</v>
      </c>
    </row>
    <row r="7" spans="1:21" ht="18" customHeight="1" x14ac:dyDescent="0.2">
      <c r="A7" s="14" t="s">
        <v>28</v>
      </c>
      <c r="B7" s="14" t="s">
        <v>31</v>
      </c>
      <c r="C7" s="14" t="s">
        <v>13</v>
      </c>
      <c r="D7" s="14" t="s">
        <v>13</v>
      </c>
      <c r="E7" s="2">
        <v>50</v>
      </c>
      <c r="F7" s="16">
        <v>1504</v>
      </c>
      <c r="G7" s="2">
        <f t="shared" ref="G7" si="6">E7*F7</f>
        <v>75200</v>
      </c>
      <c r="H7" s="3">
        <v>295</v>
      </c>
      <c r="I7" s="3"/>
      <c r="J7" s="3">
        <f t="shared" ref="J7" si="7">H7+I7</f>
        <v>295</v>
      </c>
      <c r="K7" s="3">
        <f t="shared" ref="K7" si="8">F7-J7</f>
        <v>1209</v>
      </c>
      <c r="L7" s="4">
        <f t="shared" ref="L7" si="9">J7*E7</f>
        <v>14750</v>
      </c>
      <c r="M7" s="4">
        <f t="shared" ref="M7" si="10">G7-L7</f>
        <v>60450</v>
      </c>
      <c r="N7" s="13" t="str">
        <f t="shared" ref="N7" si="11">IF(M7&gt;0,"KEEP SELLING", "DO NOT SELL")</f>
        <v>KEEP SELLING</v>
      </c>
    </row>
    <row r="8" spans="1:21" ht="18" customHeight="1" x14ac:dyDescent="0.2">
      <c r="A8" s="14" t="s">
        <v>29</v>
      </c>
      <c r="B8" s="14" t="s">
        <v>30</v>
      </c>
      <c r="C8" s="14" t="s">
        <v>14</v>
      </c>
      <c r="D8" s="14" t="s">
        <v>14</v>
      </c>
      <c r="E8" s="2">
        <v>10</v>
      </c>
      <c r="F8" s="16">
        <v>0</v>
      </c>
      <c r="G8" s="2">
        <f t="shared" ref="G8:G16" si="12">E8*F8</f>
        <v>0</v>
      </c>
      <c r="H8" s="3"/>
      <c r="I8" s="3"/>
      <c r="J8" s="3">
        <f t="shared" ref="J8:J16" si="13">H8+I8</f>
        <v>0</v>
      </c>
      <c r="K8" s="3">
        <f t="shared" ref="K8:K16" si="14">F8-J8</f>
        <v>0</v>
      </c>
      <c r="L8" s="4">
        <f t="shared" ref="L8:L16" si="15">J8*E8</f>
        <v>0</v>
      </c>
      <c r="M8" s="4">
        <f t="shared" ref="M8:M16" si="16">G8-L8</f>
        <v>0</v>
      </c>
      <c r="N8" s="13" t="str">
        <f t="shared" ref="N8:N16" si="17">IF(M8&gt;0,"KEEP SELLING", "DO NOT SELL")</f>
        <v>DO NOT SELL</v>
      </c>
    </row>
    <row r="9" spans="1:21" ht="18" customHeight="1" x14ac:dyDescent="0.2">
      <c r="A9" s="14" t="s">
        <v>29</v>
      </c>
      <c r="B9" s="14" t="s">
        <v>30</v>
      </c>
      <c r="C9" s="14" t="s">
        <v>15</v>
      </c>
      <c r="D9" s="14" t="s">
        <v>15</v>
      </c>
      <c r="E9" s="2">
        <v>10</v>
      </c>
      <c r="F9" s="16">
        <v>0</v>
      </c>
      <c r="G9" s="2">
        <f t="shared" si="12"/>
        <v>0</v>
      </c>
      <c r="H9" s="3"/>
      <c r="I9" s="3"/>
      <c r="J9" s="3">
        <f t="shared" si="13"/>
        <v>0</v>
      </c>
      <c r="K9" s="3">
        <f t="shared" si="14"/>
        <v>0</v>
      </c>
      <c r="L9" s="4">
        <f t="shared" si="15"/>
        <v>0</v>
      </c>
      <c r="M9" s="4">
        <f t="shared" si="16"/>
        <v>0</v>
      </c>
      <c r="N9" s="13" t="str">
        <f t="shared" si="17"/>
        <v>DO NOT SELL</v>
      </c>
    </row>
    <row r="10" spans="1:21" ht="18" customHeight="1" x14ac:dyDescent="0.2">
      <c r="A10" s="14" t="s">
        <v>29</v>
      </c>
      <c r="B10" s="14" t="s">
        <v>30</v>
      </c>
      <c r="C10" s="14" t="s">
        <v>16</v>
      </c>
      <c r="D10" s="14" t="s">
        <v>16</v>
      </c>
      <c r="E10" s="2">
        <v>10</v>
      </c>
      <c r="F10" s="16">
        <v>1800</v>
      </c>
      <c r="G10" s="2">
        <f t="shared" si="12"/>
        <v>18000</v>
      </c>
      <c r="H10" s="3">
        <v>1300</v>
      </c>
      <c r="I10" s="3"/>
      <c r="J10" s="3">
        <f t="shared" si="13"/>
        <v>1300</v>
      </c>
      <c r="K10" s="3">
        <f t="shared" si="14"/>
        <v>500</v>
      </c>
      <c r="L10" s="4">
        <f t="shared" si="15"/>
        <v>13000</v>
      </c>
      <c r="M10" s="4">
        <f t="shared" si="16"/>
        <v>5000</v>
      </c>
      <c r="N10" s="13" t="str">
        <f t="shared" si="17"/>
        <v>KEEP SELLING</v>
      </c>
    </row>
    <row r="11" spans="1:21" ht="18" customHeight="1" x14ac:dyDescent="0.2">
      <c r="A11" s="14" t="s">
        <v>29</v>
      </c>
      <c r="B11" s="14" t="s">
        <v>30</v>
      </c>
      <c r="C11" s="14" t="s">
        <v>17</v>
      </c>
      <c r="D11" s="14" t="s">
        <v>17</v>
      </c>
      <c r="E11" s="2">
        <v>10</v>
      </c>
      <c r="F11" s="16">
        <v>1191</v>
      </c>
      <c r="G11" s="2">
        <f t="shared" si="12"/>
        <v>11910</v>
      </c>
      <c r="H11" s="3">
        <v>1011</v>
      </c>
      <c r="I11" s="3"/>
      <c r="J11" s="3">
        <f t="shared" si="13"/>
        <v>1011</v>
      </c>
      <c r="K11" s="3">
        <f t="shared" si="14"/>
        <v>180</v>
      </c>
      <c r="L11" s="4">
        <f t="shared" si="15"/>
        <v>10110</v>
      </c>
      <c r="M11" s="4">
        <f t="shared" si="16"/>
        <v>1800</v>
      </c>
      <c r="N11" s="13" t="str">
        <f t="shared" si="17"/>
        <v>KEEP SELLING</v>
      </c>
    </row>
    <row r="12" spans="1:21" ht="18" customHeight="1" x14ac:dyDescent="0.2">
      <c r="A12" s="14" t="s">
        <v>29</v>
      </c>
      <c r="B12" s="14" t="s">
        <v>30</v>
      </c>
      <c r="C12" s="14" t="s">
        <v>20</v>
      </c>
      <c r="D12" s="14" t="s">
        <v>20</v>
      </c>
      <c r="E12" s="2">
        <v>10</v>
      </c>
      <c r="F12" s="16">
        <v>440</v>
      </c>
      <c r="G12" s="2">
        <f t="shared" si="12"/>
        <v>4400</v>
      </c>
      <c r="H12" s="3">
        <v>240</v>
      </c>
      <c r="I12" s="3"/>
      <c r="J12" s="3">
        <f t="shared" si="13"/>
        <v>240</v>
      </c>
      <c r="K12" s="3">
        <f t="shared" si="14"/>
        <v>200</v>
      </c>
      <c r="L12" s="4">
        <f t="shared" si="15"/>
        <v>2400</v>
      </c>
      <c r="M12" s="4">
        <f t="shared" si="16"/>
        <v>2000</v>
      </c>
      <c r="N12" s="13" t="str">
        <f t="shared" si="17"/>
        <v>KEEP SELLING</v>
      </c>
    </row>
    <row r="13" spans="1:21" ht="18" customHeight="1" x14ac:dyDescent="0.2">
      <c r="A13" s="14" t="s">
        <v>29</v>
      </c>
      <c r="B13" s="14" t="s">
        <v>30</v>
      </c>
      <c r="C13" s="14" t="s">
        <v>21</v>
      </c>
      <c r="D13" s="14" t="s">
        <v>21</v>
      </c>
      <c r="E13" s="2">
        <v>10</v>
      </c>
      <c r="F13" s="16">
        <v>500</v>
      </c>
      <c r="G13" s="2">
        <f t="shared" si="12"/>
        <v>5000</v>
      </c>
      <c r="H13" s="3">
        <v>464</v>
      </c>
      <c r="I13" s="3"/>
      <c r="J13" s="3">
        <f t="shared" si="13"/>
        <v>464</v>
      </c>
      <c r="K13" s="3">
        <f t="shared" si="14"/>
        <v>36</v>
      </c>
      <c r="L13" s="4">
        <f t="shared" si="15"/>
        <v>4640</v>
      </c>
      <c r="M13" s="4">
        <f t="shared" si="16"/>
        <v>360</v>
      </c>
      <c r="N13" s="13" t="str">
        <f t="shared" si="17"/>
        <v>KEEP SELLING</v>
      </c>
    </row>
    <row r="14" spans="1:21" ht="18" customHeight="1" x14ac:dyDescent="0.2">
      <c r="A14" s="14" t="s">
        <v>29</v>
      </c>
      <c r="B14" s="14" t="s">
        <v>30</v>
      </c>
      <c r="C14" s="14" t="s">
        <v>22</v>
      </c>
      <c r="D14" s="14" t="s">
        <v>22</v>
      </c>
      <c r="E14" s="2">
        <v>10</v>
      </c>
      <c r="F14" s="16">
        <v>1300</v>
      </c>
      <c r="G14" s="2">
        <f t="shared" si="12"/>
        <v>13000</v>
      </c>
      <c r="H14" s="3">
        <v>1271</v>
      </c>
      <c r="I14" s="3"/>
      <c r="J14" s="3">
        <f t="shared" si="13"/>
        <v>1271</v>
      </c>
      <c r="K14" s="3">
        <f t="shared" si="14"/>
        <v>29</v>
      </c>
      <c r="L14" s="4">
        <f t="shared" si="15"/>
        <v>12710</v>
      </c>
      <c r="M14" s="4">
        <f t="shared" si="16"/>
        <v>290</v>
      </c>
      <c r="N14" s="13" t="str">
        <f t="shared" si="17"/>
        <v>KEEP SELLING</v>
      </c>
    </row>
    <row r="15" spans="1:21" ht="18" customHeight="1" x14ac:dyDescent="0.2">
      <c r="A15" s="14" t="s">
        <v>29</v>
      </c>
      <c r="B15" s="14" t="s">
        <v>30</v>
      </c>
      <c r="C15" s="14" t="s">
        <v>18</v>
      </c>
      <c r="D15" s="14" t="s">
        <v>18</v>
      </c>
      <c r="E15" s="2">
        <v>30</v>
      </c>
      <c r="F15" s="16">
        <v>180</v>
      </c>
      <c r="G15" s="2">
        <f t="shared" si="12"/>
        <v>5400</v>
      </c>
      <c r="H15" s="3">
        <v>160</v>
      </c>
      <c r="I15" s="3"/>
      <c r="J15" s="3">
        <f t="shared" si="13"/>
        <v>160</v>
      </c>
      <c r="K15" s="3">
        <f t="shared" si="14"/>
        <v>20</v>
      </c>
      <c r="L15" s="4">
        <f t="shared" si="15"/>
        <v>4800</v>
      </c>
      <c r="M15" s="4">
        <f t="shared" si="16"/>
        <v>600</v>
      </c>
      <c r="N15" s="13" t="str">
        <f t="shared" si="17"/>
        <v>KEEP SELLING</v>
      </c>
    </row>
    <row r="16" spans="1:21" ht="18" customHeight="1" x14ac:dyDescent="0.2">
      <c r="A16" s="14" t="s">
        <v>29</v>
      </c>
      <c r="B16" s="14" t="s">
        <v>30</v>
      </c>
      <c r="C16" s="14" t="s">
        <v>19</v>
      </c>
      <c r="D16" s="14" t="s">
        <v>19</v>
      </c>
      <c r="E16" s="2">
        <v>30</v>
      </c>
      <c r="F16" s="16">
        <v>200</v>
      </c>
      <c r="G16" s="2">
        <f t="shared" si="12"/>
        <v>6000</v>
      </c>
      <c r="H16" s="3">
        <v>186</v>
      </c>
      <c r="I16" s="3"/>
      <c r="J16" s="3">
        <f t="shared" si="13"/>
        <v>186</v>
      </c>
      <c r="K16" s="3">
        <f t="shared" si="14"/>
        <v>14</v>
      </c>
      <c r="L16" s="4">
        <f t="shared" si="15"/>
        <v>5580</v>
      </c>
      <c r="M16" s="4">
        <f t="shared" si="16"/>
        <v>420</v>
      </c>
      <c r="N16" s="13" t="str">
        <f t="shared" si="17"/>
        <v>KEEP SELLING</v>
      </c>
    </row>
    <row r="17" spans="1:14" ht="18" customHeight="1" x14ac:dyDescent="0.2">
      <c r="A17" s="14" t="s">
        <v>29</v>
      </c>
      <c r="B17" s="14" t="s">
        <v>30</v>
      </c>
      <c r="C17" s="14" t="s">
        <v>13</v>
      </c>
      <c r="D17" s="14" t="s">
        <v>13</v>
      </c>
      <c r="E17" s="2">
        <v>80</v>
      </c>
      <c r="F17" s="16">
        <v>476</v>
      </c>
      <c r="G17" s="2">
        <f t="shared" ref="G17" si="18">E17*F17</f>
        <v>38080</v>
      </c>
      <c r="H17" s="3">
        <v>315</v>
      </c>
      <c r="I17" s="3"/>
      <c r="J17" s="3">
        <f t="shared" ref="J17" si="19">H17+I17</f>
        <v>315</v>
      </c>
      <c r="K17" s="3">
        <f t="shared" ref="K17" si="20">F17-J17</f>
        <v>161</v>
      </c>
      <c r="L17" s="4">
        <f t="shared" ref="L17" si="21">J17*E17</f>
        <v>25200</v>
      </c>
      <c r="M17" s="4">
        <f t="shared" ref="M17" si="22">G17-L17</f>
        <v>12880</v>
      </c>
      <c r="N17" s="13" t="str">
        <f t="shared" ref="N17" si="23">IF(M17&gt;0,"KEEP SELLING", "DO NOT SELL")</f>
        <v>KEEP SELLING</v>
      </c>
    </row>
    <row r="20" spans="1:14" ht="18" customHeight="1" x14ac:dyDescent="0.2">
      <c r="E20" s="8"/>
    </row>
    <row r="21" spans="1:14" ht="18" customHeight="1" x14ac:dyDescent="0.2">
      <c r="E21" s="8"/>
    </row>
  </sheetData>
  <autoFilter ref="A1:N17" xr:uid="{824B3D37-9A6F-4650-B475-D01F00096AE9}"/>
  <conditionalFormatting sqref="H2:I17 K2:N17">
    <cfRule type="cellIs" dxfId="2" priority="1" operator="lessThan">
      <formula>0</formula>
    </cfRule>
  </conditionalFormatting>
  <conditionalFormatting sqref="N1:N1048576">
    <cfRule type="containsText" dxfId="1" priority="19" operator="containsText" text="DO NOT SELL">
      <formula>NOT(ISERROR(SEARCH("DO NOT SELL",N1)))</formula>
    </cfRule>
    <cfRule type="containsText" dxfId="0" priority="20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 + shipping</vt:lpstr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2025-12-12T22:38:43Z</dcterms:modified>
  <cp:category/>
  <cp:contentStatus/>
</cp:coreProperties>
</file>