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0 SD Promotions\Samsung\"/>
    </mc:Choice>
  </mc:AlternateContent>
  <xr:revisionPtr revIDLastSave="0" documentId="13_ncr:1_{2ADD5058-1F02-401C-8CD4-B8E243BE6151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As of now" sheetId="13" r:id="rId1"/>
  </sheets>
  <definedNames>
    <definedName name="_xlnm._FilterDatabase" localSheetId="0" hidden="1">'As of now'!$A$1:$N$17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3" l="1"/>
  <c r="L17" i="13" s="1"/>
  <c r="G17" i="13"/>
  <c r="J16" i="13"/>
  <c r="L16" i="13" s="1"/>
  <c r="G16" i="13"/>
  <c r="J15" i="13"/>
  <c r="L15" i="13" s="1"/>
  <c r="G15" i="13"/>
  <c r="J14" i="13"/>
  <c r="L14" i="13" s="1"/>
  <c r="G14" i="13"/>
  <c r="J13" i="13"/>
  <c r="K13" i="13" s="1"/>
  <c r="G13" i="13"/>
  <c r="J12" i="13"/>
  <c r="L12" i="13" s="1"/>
  <c r="G12" i="13"/>
  <c r="J11" i="13"/>
  <c r="K11" i="13" s="1"/>
  <c r="G11" i="13"/>
  <c r="J10" i="13"/>
  <c r="K10" i="13" s="1"/>
  <c r="G10" i="13"/>
  <c r="J9" i="13"/>
  <c r="K9" i="13" s="1"/>
  <c r="G9" i="13"/>
  <c r="J8" i="13"/>
  <c r="K8" i="13" s="1"/>
  <c r="G8" i="13"/>
  <c r="J7" i="13"/>
  <c r="L7" i="13" s="1"/>
  <c r="Q4" i="13" s="1"/>
  <c r="G7" i="13"/>
  <c r="P4" i="13" s="1"/>
  <c r="J4" i="13"/>
  <c r="K4" i="13" s="1"/>
  <c r="G4" i="13"/>
  <c r="J6" i="13"/>
  <c r="L6" i="13" s="1"/>
  <c r="G6" i="13"/>
  <c r="J5" i="13"/>
  <c r="L5" i="13" s="1"/>
  <c r="G5" i="13"/>
  <c r="G3" i="13"/>
  <c r="J3" i="13"/>
  <c r="K3" i="13" s="1"/>
  <c r="G2" i="13"/>
  <c r="P2" i="13" s="1"/>
  <c r="J2" i="13"/>
  <c r="K2" i="13" s="1"/>
  <c r="P5" i="13" l="1"/>
  <c r="T2" i="13"/>
  <c r="M16" i="13"/>
  <c r="N16" i="13" s="1"/>
  <c r="M12" i="13"/>
  <c r="N12" i="13" s="1"/>
  <c r="M15" i="13"/>
  <c r="N15" i="13" s="1"/>
  <c r="P3" i="13"/>
  <c r="M17" i="13"/>
  <c r="N17" i="13" s="1"/>
  <c r="K17" i="13"/>
  <c r="K16" i="13"/>
  <c r="K15" i="13"/>
  <c r="M14" i="13"/>
  <c r="N14" i="13" s="1"/>
  <c r="K14" i="13"/>
  <c r="L13" i="13"/>
  <c r="M13" i="13" s="1"/>
  <c r="N13" i="13" s="1"/>
  <c r="K12" i="13"/>
  <c r="L11" i="13"/>
  <c r="M11" i="13" s="1"/>
  <c r="N11" i="13" s="1"/>
  <c r="L10" i="13"/>
  <c r="L9" i="13"/>
  <c r="M9" i="13" s="1"/>
  <c r="N9" i="13" s="1"/>
  <c r="L8" i="13"/>
  <c r="M8" i="13" s="1"/>
  <c r="N8" i="13" s="1"/>
  <c r="M7" i="13"/>
  <c r="N7" i="13" s="1"/>
  <c r="K7" i="13"/>
  <c r="L4" i="13"/>
  <c r="M4" i="13" s="1"/>
  <c r="N4" i="13" s="1"/>
  <c r="M6" i="13"/>
  <c r="N6" i="13" s="1"/>
  <c r="M5" i="13"/>
  <c r="N5" i="13" s="1"/>
  <c r="K5" i="13"/>
  <c r="K6" i="13"/>
  <c r="L3" i="13"/>
  <c r="L2" i="13"/>
  <c r="Q2" i="13" s="1"/>
  <c r="M10" i="13" l="1"/>
  <c r="N10" i="13" s="1"/>
  <c r="Q5" i="13"/>
  <c r="U2" i="13" s="1"/>
  <c r="Q3" i="13"/>
  <c r="S2" i="13" s="1"/>
  <c r="R2" i="13"/>
  <c r="M3" i="13"/>
  <c r="N3" i="13" s="1"/>
  <c r="M2" i="13"/>
  <c r="N2" i="13" s="1"/>
</calcChain>
</file>

<file path=xl/sharedStrings.xml><?xml version="1.0" encoding="utf-8"?>
<sst xmlns="http://schemas.openxmlformats.org/spreadsheetml/2006/main" count="78" uniqueCount="32">
  <si>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</si>
  <si>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</si>
  <si>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</si>
  <si>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</si>
  <si>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</si>
  <si>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</si>
  <si>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</si>
  <si>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</si>
  <si>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</si>
  <si>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</si>
  <si>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</si>
  <si>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</si>
  <si>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</si>
  <si>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</si>
  <si>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G-A06</t>
  </si>
  <si>
    <t>G-A07</t>
  </si>
  <si>
    <t>G-A16</t>
  </si>
  <si>
    <t>G-A17</t>
  </si>
  <si>
    <t>G-S25</t>
  </si>
  <si>
    <t>G-S25+</t>
  </si>
  <si>
    <t>G-A26-5G</t>
  </si>
  <si>
    <t>G-A36-5G</t>
  </si>
  <si>
    <t>G-A56-5G</t>
  </si>
  <si>
    <t>A0S3A0A250001175</t>
  </si>
  <si>
    <t>W48-W50 A11 OM ST</t>
  </si>
  <si>
    <t>G-TAB-A11</t>
  </si>
  <si>
    <t>A0S3A0A250001181</t>
  </si>
  <si>
    <t>W48-W50 A Series Peak Season ST</t>
  </si>
  <si>
    <t>A0S3A0A250001220</t>
  </si>
  <si>
    <t>A0S3A0A250001224</t>
  </si>
  <si>
    <t>W50 Sell-Thru</t>
  </si>
  <si>
    <t>W50 S25 Ultra OM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</si>
</sst>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  <xf numFmtId="1" fontId="0" fillId="7" borderId="1" xfId="0" applyNumberFormat="1" applyFill="1" applyBorder="1"/>
    <xf numFmtId="1" fontId="2" fillId="8" borderId="1" xfId="0" applyNumberFormat="1" applyFont="1" applyFill="1" applyBorder="1"/>
    <xf numFmtId="1" fontId="0" fillId="8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U21"/>
  <sheetViews>
    <sheetView showGridLines="0" tabSelected="1" topLeftCell="B1" zoomScale="130" zoomScaleNormal="130" workbookViewId="0">
      <pane ySplit="1" topLeftCell="A5" activePane="bottomLeft" state="frozen"/>
      <selection pane="bottomLeft" activeCell="J10" sqref="J10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1.42578125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1175</v>
      </c>
      <c r="S1" s="11">
        <v>1181</v>
      </c>
      <c r="T1" s="11">
        <v>1220</v>
      </c>
      <c r="U1" s="11">
        <v>1224</v>
      </c>
    </row>
    <row r="2" spans="1:21" ht="18" customHeight="1" x14ac:dyDescent="0.2">
      <c r="A2" s="14" t="s">
        <v>23</v>
      </c>
      <c r="B2" s="14" t="s">
        <v>24</v>
      </c>
      <c r="C2" s="14" t="s">
        <v>25</v>
      </c>
      <c r="D2" s="14" t="s">
        <v>25</v>
      </c>
      <c r="E2" s="2">
        <v>13</v>
      </c>
      <c r="F2" s="16">
        <v>2950</v>
      </c>
      <c r="G2" s="2">
        <f t="shared" ref="G2:G6" si="0">E2*F2</f>
        <v>38350</v>
      </c>
      <c r="H2" s="3">
        <v>300</v>
      </c>
      <c r="I2" s="18">
        <v>200</v>
      </c>
      <c r="J2" s="3">
        <f>H2+I2</f>
        <v>500</v>
      </c>
      <c r="K2" s="3">
        <f>F2-J2</f>
        <v>2450</v>
      </c>
      <c r="L2" s="4">
        <f>J2*E2</f>
        <v>6500</v>
      </c>
      <c r="M2" s="4">
        <f>G2-L2</f>
        <v>31850</v>
      </c>
      <c r="N2" s="13" t="str">
        <f t="shared" ref="N2:N6" si="1">IF(M2&gt;0,"KEEP SELLING", "DO NOT SELL")</f>
        <v>KEEP SELLING</v>
      </c>
      <c r="P2" s="10">
        <f>SUM(G2:G2)</f>
        <v>38350</v>
      </c>
      <c r="Q2" s="9">
        <f>SUM(L2:L2)</f>
        <v>6500</v>
      </c>
      <c r="R2" s="12">
        <f>P2-Q2</f>
        <v>31850</v>
      </c>
      <c r="S2" s="12">
        <f>P3-Q3</f>
        <v>1456</v>
      </c>
      <c r="T2" s="12">
        <f>P4-Q4</f>
        <v>64800</v>
      </c>
      <c r="U2" s="12">
        <f>P5-Q5</f>
        <v>107120</v>
      </c>
    </row>
    <row r="3" spans="1:21" ht="18" customHeight="1" x14ac:dyDescent="0.2">
      <c r="A3" s="14" t="s">
        <v>26</v>
      </c>
      <c r="B3" s="14" t="s">
        <v>27</v>
      </c>
      <c r="C3" s="14" t="s">
        <v>16</v>
      </c>
      <c r="D3" s="14" t="s">
        <v>16</v>
      </c>
      <c r="E3" s="2">
        <v>4</v>
      </c>
      <c r="F3" s="16">
        <v>7000</v>
      </c>
      <c r="G3" s="2">
        <f t="shared" si="0"/>
        <v>28000</v>
      </c>
      <c r="H3" s="3">
        <v>9000</v>
      </c>
      <c r="I3" s="3"/>
      <c r="J3" s="3">
        <f>H3+I3</f>
        <v>9000</v>
      </c>
      <c r="K3" s="3">
        <f>F3-J3</f>
        <v>-2000</v>
      </c>
      <c r="L3" s="4">
        <f>J3*E3</f>
        <v>36000</v>
      </c>
      <c r="M3" s="4">
        <f>G3-L3</f>
        <v>-8000</v>
      </c>
      <c r="N3" s="13" t="str">
        <f t="shared" si="1"/>
        <v>DO NOT SELL</v>
      </c>
      <c r="P3" s="10">
        <f>SUM(G3:G6)</f>
        <v>43200</v>
      </c>
      <c r="Q3" s="9">
        <f>SUM(L3:L6)</f>
        <v>41744</v>
      </c>
    </row>
    <row r="4" spans="1:21" ht="18" customHeight="1" x14ac:dyDescent="0.2">
      <c r="A4" s="14" t="s">
        <v>26</v>
      </c>
      <c r="B4" s="14" t="s">
        <v>27</v>
      </c>
      <c r="C4" s="14" t="s">
        <v>20</v>
      </c>
      <c r="D4" s="14" t="s">
        <v>20</v>
      </c>
      <c r="E4" s="2">
        <v>4</v>
      </c>
      <c r="F4" s="16">
        <v>1600</v>
      </c>
      <c r="G4" s="2">
        <f t="shared" si="0"/>
        <v>6400</v>
      </c>
      <c r="H4" s="3">
        <v>172</v>
      </c>
      <c r="I4" s="3"/>
      <c r="J4" s="3">
        <f>H4+I4</f>
        <v>172</v>
      </c>
      <c r="K4" s="3">
        <f>F4-J4</f>
        <v>1428</v>
      </c>
      <c r="L4" s="4">
        <f>J4*E4</f>
        <v>688</v>
      </c>
      <c r="M4" s="4">
        <f>G4-L4</f>
        <v>5712</v>
      </c>
      <c r="N4" s="13" t="str">
        <f t="shared" si="1"/>
        <v>KEEP SELLING</v>
      </c>
      <c r="P4" s="10">
        <f>SUM(G7)</f>
        <v>140000</v>
      </c>
      <c r="Q4" s="9">
        <f>SUM(L7:L7)</f>
        <v>75200</v>
      </c>
    </row>
    <row r="5" spans="1:21" ht="18" customHeight="1" x14ac:dyDescent="0.2">
      <c r="A5" s="14" t="s">
        <v>26</v>
      </c>
      <c r="B5" s="14" t="s">
        <v>27</v>
      </c>
      <c r="C5" s="14" t="s">
        <v>21</v>
      </c>
      <c r="D5" s="14" t="s">
        <v>21</v>
      </c>
      <c r="E5" s="2">
        <v>4</v>
      </c>
      <c r="F5" s="16">
        <v>1100</v>
      </c>
      <c r="G5" s="2">
        <f t="shared" si="0"/>
        <v>4400</v>
      </c>
      <c r="H5" s="3">
        <v>365</v>
      </c>
      <c r="I5" s="3"/>
      <c r="J5" s="3">
        <f>H5+I5</f>
        <v>365</v>
      </c>
      <c r="K5" s="3">
        <f>F5-J5</f>
        <v>735</v>
      </c>
      <c r="L5" s="4">
        <f>J5*E5</f>
        <v>1460</v>
      </c>
      <c r="M5" s="4">
        <f>G5-L5</f>
        <v>2940</v>
      </c>
      <c r="N5" s="13" t="str">
        <f t="shared" si="1"/>
        <v>KEEP SELLING</v>
      </c>
      <c r="P5" s="10">
        <f>SUM(G8:G17)</f>
        <v>198500</v>
      </c>
      <c r="Q5" s="9">
        <f>SUM(L8:L17)</f>
        <v>91380</v>
      </c>
    </row>
    <row r="6" spans="1:21" ht="18" customHeight="1" x14ac:dyDescent="0.2">
      <c r="A6" s="14" t="s">
        <v>26</v>
      </c>
      <c r="B6" s="14" t="s">
        <v>27</v>
      </c>
      <c r="C6" s="14" t="s">
        <v>22</v>
      </c>
      <c r="D6" s="14" t="s">
        <v>22</v>
      </c>
      <c r="E6" s="2">
        <v>4</v>
      </c>
      <c r="F6" s="16">
        <v>1100</v>
      </c>
      <c r="G6" s="2">
        <f t="shared" si="0"/>
        <v>4400</v>
      </c>
      <c r="H6" s="3">
        <v>659</v>
      </c>
      <c r="I6" s="3">
        <v>240</v>
      </c>
      <c r="J6" s="3">
        <f>H6+I6</f>
        <v>899</v>
      </c>
      <c r="K6" s="3">
        <f>F6-J6</f>
        <v>201</v>
      </c>
      <c r="L6" s="4">
        <f>J6*E6</f>
        <v>3596</v>
      </c>
      <c r="M6" s="4">
        <f>G6-L6</f>
        <v>804</v>
      </c>
      <c r="N6" s="13" t="str">
        <f t="shared" si="1"/>
        <v>KEEP SELLING</v>
      </c>
    </row>
    <row r="7" spans="1:21" ht="18" customHeight="1" x14ac:dyDescent="0.2">
      <c r="A7" s="14" t="s">
        <v>28</v>
      </c>
      <c r="B7" s="14" t="s">
        <v>31</v>
      </c>
      <c r="C7" s="14" t="s">
        <v>13</v>
      </c>
      <c r="D7" s="14" t="s">
        <v>13</v>
      </c>
      <c r="E7" s="2">
        <v>50</v>
      </c>
      <c r="F7" s="16">
        <v>2800</v>
      </c>
      <c r="G7" s="2">
        <f t="shared" ref="G7" si="2">E7*F7</f>
        <v>140000</v>
      </c>
      <c r="H7" s="3">
        <v>4</v>
      </c>
      <c r="I7" s="3">
        <v>1500</v>
      </c>
      <c r="J7" s="3">
        <f>H7+I7</f>
        <v>1504</v>
      </c>
      <c r="K7" s="3">
        <f>F7-J7</f>
        <v>1296</v>
      </c>
      <c r="L7" s="4">
        <f>J7*E7</f>
        <v>75200</v>
      </c>
      <c r="M7" s="4">
        <f>G7-L7</f>
        <v>64800</v>
      </c>
      <c r="N7" s="13" t="str">
        <f t="shared" ref="N7" si="3">IF(M7&gt;0,"KEEP SELLING", "DO NOT SELL")</f>
        <v>KEEP SELLING</v>
      </c>
    </row>
    <row r="8" spans="1:21" ht="18" customHeight="1" x14ac:dyDescent="0.2">
      <c r="A8" s="14" t="s">
        <v>29</v>
      </c>
      <c r="B8" s="14" t="s">
        <v>30</v>
      </c>
      <c r="C8" s="14" t="s">
        <v>14</v>
      </c>
      <c r="D8" s="14" t="s">
        <v>14</v>
      </c>
      <c r="E8" s="2">
        <v>10</v>
      </c>
      <c r="F8" s="16">
        <v>1600</v>
      </c>
      <c r="G8" s="2">
        <f t="shared" ref="G8:G16" si="4">E8*F8</f>
        <v>16000</v>
      </c>
      <c r="H8" s="3"/>
      <c r="I8" s="3"/>
      <c r="J8" s="3">
        <f>H8+I8</f>
        <v>0</v>
      </c>
      <c r="K8" s="3">
        <f>F8-J8</f>
        <v>1600</v>
      </c>
      <c r="L8" s="4">
        <f>J8*E8</f>
        <v>0</v>
      </c>
      <c r="M8" s="4">
        <f>G8-L8</f>
        <v>16000</v>
      </c>
      <c r="N8" s="13" t="str">
        <f t="shared" ref="N8:N16" si="5">IF(M8&gt;0,"KEEP SELLING", "DO NOT SELL")</f>
        <v>KEEP SELLING</v>
      </c>
    </row>
    <row r="9" spans="1:21" ht="18" customHeight="1" x14ac:dyDescent="0.2">
      <c r="A9" s="14" t="s">
        <v>29</v>
      </c>
      <c r="B9" s="14" t="s">
        <v>30</v>
      </c>
      <c r="C9" s="14" t="s">
        <v>15</v>
      </c>
      <c r="D9" s="14" t="s">
        <v>15</v>
      </c>
      <c r="E9" s="2">
        <v>10</v>
      </c>
      <c r="F9" s="16">
        <v>1400</v>
      </c>
      <c r="G9" s="2">
        <f t="shared" si="4"/>
        <v>14000</v>
      </c>
      <c r="H9" s="3"/>
      <c r="I9" s="3"/>
      <c r="J9" s="3">
        <f>H9+I9</f>
        <v>0</v>
      </c>
      <c r="K9" s="3">
        <f>F9-J9</f>
        <v>1400</v>
      </c>
      <c r="L9" s="4">
        <f>J9*E9</f>
        <v>0</v>
      </c>
      <c r="M9" s="4">
        <f>G9-L9</f>
        <v>14000</v>
      </c>
      <c r="N9" s="13" t="str">
        <f t="shared" si="5"/>
        <v>KEEP SELLING</v>
      </c>
    </row>
    <row r="10" spans="1:21" ht="18" customHeight="1" x14ac:dyDescent="0.2">
      <c r="A10" s="14" t="s">
        <v>29</v>
      </c>
      <c r="B10" s="14" t="s">
        <v>30</v>
      </c>
      <c r="C10" s="14" t="s">
        <v>16</v>
      </c>
      <c r="D10" s="14" t="s">
        <v>16</v>
      </c>
      <c r="E10" s="2">
        <v>10</v>
      </c>
      <c r="F10" s="16">
        <v>1800</v>
      </c>
      <c r="G10" s="2">
        <f t="shared" si="4"/>
        <v>18000</v>
      </c>
      <c r="H10" s="3">
        <v>200</v>
      </c>
      <c r="I10" s="17">
        <v>1100</v>
      </c>
      <c r="J10" s="3">
        <f>H10+I10</f>
        <v>1300</v>
      </c>
      <c r="K10" s="3">
        <f>F10-J10</f>
        <v>500</v>
      </c>
      <c r="L10" s="4">
        <f>J10*E10</f>
        <v>13000</v>
      </c>
      <c r="M10" s="4">
        <f>G10-L10</f>
        <v>5000</v>
      </c>
      <c r="N10" s="13" t="str">
        <f t="shared" si="5"/>
        <v>KEEP SELLING</v>
      </c>
    </row>
    <row r="11" spans="1:21" ht="18" customHeight="1" x14ac:dyDescent="0.2">
      <c r="A11" s="14" t="s">
        <v>29</v>
      </c>
      <c r="B11" s="14" t="s">
        <v>30</v>
      </c>
      <c r="C11" s="14" t="s">
        <v>17</v>
      </c>
      <c r="D11" s="14" t="s">
        <v>17</v>
      </c>
      <c r="E11" s="2">
        <v>10</v>
      </c>
      <c r="F11" s="16">
        <v>800</v>
      </c>
      <c r="G11" s="2">
        <f t="shared" si="4"/>
        <v>8000</v>
      </c>
      <c r="H11" s="3">
        <v>612</v>
      </c>
      <c r="I11" s="19">
        <v>500</v>
      </c>
      <c r="J11" s="3">
        <f>H11+I11</f>
        <v>1112</v>
      </c>
      <c r="K11" s="3">
        <f>F11-J11</f>
        <v>-312</v>
      </c>
      <c r="L11" s="4">
        <f>J11*E11</f>
        <v>11120</v>
      </c>
      <c r="M11" s="4">
        <f>G11-L11</f>
        <v>-3120</v>
      </c>
      <c r="N11" s="13" t="str">
        <f t="shared" si="5"/>
        <v>DO NOT SELL</v>
      </c>
    </row>
    <row r="12" spans="1:21" ht="18" customHeight="1" x14ac:dyDescent="0.2">
      <c r="A12" s="14" t="s">
        <v>29</v>
      </c>
      <c r="B12" s="14" t="s">
        <v>30</v>
      </c>
      <c r="C12" s="14" t="s">
        <v>20</v>
      </c>
      <c r="D12" s="14" t="s">
        <v>20</v>
      </c>
      <c r="E12" s="2">
        <v>10</v>
      </c>
      <c r="F12" s="16">
        <v>900</v>
      </c>
      <c r="G12" s="2">
        <f t="shared" si="4"/>
        <v>9000</v>
      </c>
      <c r="H12" s="3">
        <v>60</v>
      </c>
      <c r="I12" s="19">
        <v>280</v>
      </c>
      <c r="J12" s="3">
        <f>H12+I12</f>
        <v>340</v>
      </c>
      <c r="K12" s="3">
        <f>F12-J12</f>
        <v>560</v>
      </c>
      <c r="L12" s="4">
        <f>J12*E12</f>
        <v>3400</v>
      </c>
      <c r="M12" s="4">
        <f>G12-L12</f>
        <v>5600</v>
      </c>
      <c r="N12" s="13" t="str">
        <f t="shared" si="5"/>
        <v>KEEP SELLING</v>
      </c>
    </row>
    <row r="13" spans="1:21" ht="18" customHeight="1" x14ac:dyDescent="0.2">
      <c r="A13" s="14" t="s">
        <v>29</v>
      </c>
      <c r="B13" s="14" t="s">
        <v>30</v>
      </c>
      <c r="C13" s="14" t="s">
        <v>21</v>
      </c>
      <c r="D13" s="14" t="s">
        <v>21</v>
      </c>
      <c r="E13" s="2">
        <v>10</v>
      </c>
      <c r="F13" s="16">
        <v>500</v>
      </c>
      <c r="G13" s="2">
        <f t="shared" si="4"/>
        <v>5000</v>
      </c>
      <c r="H13" s="3">
        <v>364</v>
      </c>
      <c r="I13" s="19">
        <v>136</v>
      </c>
      <c r="J13" s="3">
        <f>H13+I13</f>
        <v>500</v>
      </c>
      <c r="K13" s="3">
        <f>F13-J13</f>
        <v>0</v>
      </c>
      <c r="L13" s="4">
        <f>J13*E13</f>
        <v>5000</v>
      </c>
      <c r="M13" s="4">
        <f>G13-L13</f>
        <v>0</v>
      </c>
      <c r="N13" s="13" t="str">
        <f t="shared" si="5"/>
        <v>DO NOT SELL</v>
      </c>
    </row>
    <row r="14" spans="1:21" ht="18" customHeight="1" x14ac:dyDescent="0.2">
      <c r="A14" s="14" t="s">
        <v>29</v>
      </c>
      <c r="B14" s="14" t="s">
        <v>30</v>
      </c>
      <c r="C14" s="14" t="s">
        <v>22</v>
      </c>
      <c r="D14" s="14" t="s">
        <v>22</v>
      </c>
      <c r="E14" s="2">
        <v>10</v>
      </c>
      <c r="F14" s="16">
        <v>1300</v>
      </c>
      <c r="G14" s="2">
        <f t="shared" si="4"/>
        <v>13000</v>
      </c>
      <c r="H14" s="3">
        <v>560</v>
      </c>
      <c r="I14" s="19">
        <v>740</v>
      </c>
      <c r="J14" s="3">
        <f>H14+I14</f>
        <v>1300</v>
      </c>
      <c r="K14" s="3">
        <f>F14-J14</f>
        <v>0</v>
      </c>
      <c r="L14" s="4">
        <f>J14*E14</f>
        <v>13000</v>
      </c>
      <c r="M14" s="4">
        <f>G14-L14</f>
        <v>0</v>
      </c>
      <c r="N14" s="13" t="str">
        <f t="shared" si="5"/>
        <v>DO NOT SELL</v>
      </c>
    </row>
    <row r="15" spans="1:21" ht="18" customHeight="1" x14ac:dyDescent="0.2">
      <c r="A15" s="14" t="s">
        <v>29</v>
      </c>
      <c r="B15" s="14" t="s">
        <v>30</v>
      </c>
      <c r="C15" s="14" t="s">
        <v>18</v>
      </c>
      <c r="D15" s="14" t="s">
        <v>18</v>
      </c>
      <c r="E15" s="2">
        <v>30</v>
      </c>
      <c r="F15" s="16">
        <v>600</v>
      </c>
      <c r="G15" s="2">
        <f t="shared" si="4"/>
        <v>18000</v>
      </c>
      <c r="H15" s="3">
        <v>80</v>
      </c>
      <c r="I15" s="19">
        <v>100</v>
      </c>
      <c r="J15" s="3">
        <f>H15+I15</f>
        <v>180</v>
      </c>
      <c r="K15" s="3">
        <f>F15-J15</f>
        <v>420</v>
      </c>
      <c r="L15" s="4">
        <f>J15*E15</f>
        <v>5400</v>
      </c>
      <c r="M15" s="4">
        <f>G15-L15</f>
        <v>12600</v>
      </c>
      <c r="N15" s="13" t="str">
        <f t="shared" si="5"/>
        <v>KEEP SELLING</v>
      </c>
    </row>
    <row r="16" spans="1:21" ht="18" customHeight="1" x14ac:dyDescent="0.2">
      <c r="A16" s="14" t="s">
        <v>29</v>
      </c>
      <c r="B16" s="14" t="s">
        <v>30</v>
      </c>
      <c r="C16" s="14" t="s">
        <v>19</v>
      </c>
      <c r="D16" s="14" t="s">
        <v>19</v>
      </c>
      <c r="E16" s="2">
        <v>30</v>
      </c>
      <c r="F16" s="16">
        <v>50</v>
      </c>
      <c r="G16" s="2">
        <f t="shared" si="4"/>
        <v>1500</v>
      </c>
      <c r="H16" s="3">
        <v>186</v>
      </c>
      <c r="I16" s="3"/>
      <c r="J16" s="3">
        <f>H16+I16</f>
        <v>186</v>
      </c>
      <c r="K16" s="3">
        <f>F16-J16</f>
        <v>-136</v>
      </c>
      <c r="L16" s="4">
        <f>J16*E16</f>
        <v>5580</v>
      </c>
      <c r="M16" s="4">
        <f>G16-L16</f>
        <v>-4080</v>
      </c>
      <c r="N16" s="13" t="str">
        <f t="shared" si="5"/>
        <v>DO NOT SELL</v>
      </c>
    </row>
    <row r="17" spans="1:14" ht="18" customHeight="1" x14ac:dyDescent="0.2">
      <c r="A17" s="14" t="s">
        <v>29</v>
      </c>
      <c r="B17" s="14" t="s">
        <v>30</v>
      </c>
      <c r="C17" s="14" t="s">
        <v>13</v>
      </c>
      <c r="D17" s="14" t="s">
        <v>13</v>
      </c>
      <c r="E17" s="2">
        <v>80</v>
      </c>
      <c r="F17" s="16">
        <v>1200</v>
      </c>
      <c r="G17" s="2">
        <f t="shared" ref="G17" si="6">E17*F17</f>
        <v>96000</v>
      </c>
      <c r="H17" s="3">
        <v>286</v>
      </c>
      <c r="I17" s="19">
        <v>150</v>
      </c>
      <c r="J17" s="3">
        <f>H17+I17</f>
        <v>436</v>
      </c>
      <c r="K17" s="3">
        <f>F17-J17</f>
        <v>764</v>
      </c>
      <c r="L17" s="4">
        <f>J17*E17</f>
        <v>34880</v>
      </c>
      <c r="M17" s="4">
        <f>G17-L17</f>
        <v>61120</v>
      </c>
      <c r="N17" s="13" t="str">
        <f t="shared" ref="N17" si="7">IF(M17&gt;0,"KEEP SELLING", "DO NOT SELL")</f>
        <v>KEEP SELLING</v>
      </c>
    </row>
    <row r="20" spans="1:14" ht="18" customHeight="1" x14ac:dyDescent="0.2">
      <c r="E20" s="8"/>
    </row>
    <row r="21" spans="1:14" ht="18" customHeight="1" x14ac:dyDescent="0.2">
      <c r="E21" s="8"/>
    </row>
  </sheetData>
  <autoFilter ref="A1:N17" xr:uid="{824B3D37-9A6F-4650-B475-D01F00096AE9}"/>
  <conditionalFormatting sqref="H2:I17 K2:N17">
    <cfRule type="cellIs" dxfId="2" priority="1" operator="lessThan">
      <formula>0</formula>
    </cfRule>
  </conditionalFormatting>
  <conditionalFormatting sqref="N1:N1048576">
    <cfRule type="containsText" dxfId="1" priority="19" operator="containsText" text="DO NOT SELL">
      <formula>NOT(ISERROR(SEARCH("DO NOT SELL",N1)))</formula>
    </cfRule>
    <cfRule type="containsText" dxfId="0" priority="20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2025-12-10T17:02:15Z</dcterms:modified>
  <cp:category/>
  <cp:contentStatus/>
</cp:coreProperties>
</file>