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50 SD Promotions\"/>
    </mc:Choice>
  </mc:AlternateContent>
  <xr:revisionPtr revIDLastSave="0" documentId="13_ncr:1_{ED069E5A-C21F-4EED-917A-0A9AB24E3DD5}" xr6:coauthVersionLast="47" xr6:coauthVersionMax="47" xr10:uidLastSave="{00000000-0000-0000-0000-000000000000}"/>
  <bookViews>
    <workbookView xWindow="-19320" yWindow="-120" windowWidth="19440" windowHeight="10320" xr2:uid="{00000000-000D-0000-FFFF-FFFF00000000}"/>
  </bookViews>
  <sheets>
    <sheet name="Survey" sheetId="1" r:id="rId1"/>
  </sheets>
  <definedNames>
    <definedName name="_xlnm._FilterDatabase" localSheetId="0" hidden="1">Survey!$A$1:$O$17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2" i="1" l="1"/>
  <c r="L11" i="1"/>
  <c r="L10" i="1"/>
  <c r="K9" i="1"/>
  <c r="M9" i="1" s="1"/>
  <c r="K8" i="1"/>
  <c r="M8" i="1" s="1"/>
  <c r="K6" i="1"/>
  <c r="M6" i="1" s="1"/>
  <c r="K17" i="1"/>
  <c r="M17" i="1" s="1"/>
  <c r="K16" i="1"/>
  <c r="M16" i="1" s="1"/>
  <c r="K15" i="1"/>
  <c r="M15" i="1" s="1"/>
  <c r="K14" i="1"/>
  <c r="M14" i="1" s="1"/>
  <c r="K13" i="1"/>
  <c r="M13" i="1" s="1"/>
  <c r="K10" i="1"/>
  <c r="M10" i="1" s="1"/>
  <c r="K7" i="1"/>
  <c r="M7" i="1" s="1"/>
  <c r="K5" i="1"/>
  <c r="M5" i="1" s="1"/>
  <c r="K4" i="1"/>
  <c r="M4" i="1" s="1"/>
  <c r="K3" i="1"/>
  <c r="M3" i="1" s="1"/>
  <c r="K2" i="1"/>
  <c r="M2" i="1" s="1"/>
  <c r="L17" i="1"/>
  <c r="L16" i="1"/>
  <c r="L15" i="1"/>
  <c r="L14" i="1"/>
  <c r="L13" i="1"/>
  <c r="L9" i="1"/>
  <c r="L8" i="1"/>
  <c r="L7" i="1"/>
  <c r="L5" i="1"/>
  <c r="L4" i="1"/>
  <c r="L3" i="1"/>
  <c r="L2" i="1"/>
  <c r="K11" i="1" l="1"/>
  <c r="M11" i="1" s="1"/>
  <c r="K12" i="1"/>
  <c r="M12" i="1" s="1"/>
  <c r="L6" i="1"/>
</calcChain>
</file>

<file path=xl/sharedStrings.xml><?xml version="1.0" encoding="utf-8"?>
<sst xmlns="http://schemas.openxmlformats.org/spreadsheetml/2006/main" count="111" uniqueCount="39">
  <si>
    <t>Condition Document No</t>
  </si>
  <si>
    <t>Condition Text</t>
  </si>
  <si>
    <t>Group Condition Document No</t>
  </si>
  <si>
    <t>Customer Text</t>
  </si>
  <si>
    <t>Product</t>
  </si>
  <si>
    <t>Product Text</t>
  </si>
  <si>
    <t>Start Date of Condition</t>
  </si>
  <si>
    <t>End Date of Condition</t>
  </si>
  <si>
    <t>G-A26-5G</t>
  </si>
  <si>
    <t>G-S25</t>
  </si>
  <si>
    <t>G-S25+</t>
  </si>
  <si>
    <t>G-S25-ULTRA</t>
  </si>
  <si>
    <t>VITEL MOBILE, INC.</t>
  </si>
  <si>
    <t>G-A06</t>
  </si>
  <si>
    <t>G-A07</t>
  </si>
  <si>
    <t>G-A16</t>
  </si>
  <si>
    <t>G-A17</t>
  </si>
  <si>
    <t>G-A36-5G</t>
  </si>
  <si>
    <t>G-A56-5G</t>
  </si>
  <si>
    <t>G-TAB-A11</t>
  </si>
  <si>
    <t>A2S3A0A250000443</t>
  </si>
  <si>
    <t>A0S3A0A250001175</t>
  </si>
  <si>
    <t>VITEL W48-W50 A11 OM ST Promo</t>
  </si>
  <si>
    <t>A0S3A0A250001181</t>
  </si>
  <si>
    <t>W48-W50 A Series Peak Season ST Promo</t>
  </si>
  <si>
    <t>A2S3A0A250000441</t>
  </si>
  <si>
    <t>A0S3A0A250001220</t>
  </si>
  <si>
    <t>VITEL W50 S25 Ultra OM ST Promo</t>
  </si>
  <si>
    <t>A2S3A0A250000456</t>
  </si>
  <si>
    <t>A0S3A0A250001224</t>
  </si>
  <si>
    <t>VITEL W50 VE Sell-Thru Promotion</t>
  </si>
  <si>
    <t>A2S3A0A250000458</t>
  </si>
  <si>
    <t>Incentive</t>
  </si>
  <si>
    <t>AS-IS Quantity</t>
  </si>
  <si>
    <t>AS-IS Amt(T)</t>
  </si>
  <si>
    <t>TO-BE Quantity</t>
  </si>
  <si>
    <t>TO-BE Amt(T)</t>
  </si>
  <si>
    <t>DELTA Quantity</t>
  </si>
  <si>
    <t>DELTA Amt(T)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</si>
</sst>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yyyy/mm/dd"/>
  </numFmts>
  <fonts count="2" x14ac:knownFonts="1">
    <font>
      <sz val="10"/>
      <color theme="1"/>
      <name val="Calibri"/>
    </font>
    <font>
      <b/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6" fontId="0" fillId="3" borderId="1" xfId="0" applyNumberFormat="1" applyFill="1" applyBorder="1"/>
    <xf numFmtId="3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7"/>
  <sheetViews>
    <sheetView showGridLines="0" tabSelected="1" topLeftCell="C1" workbookViewId="0">
      <pane ySplit="1" topLeftCell="A2" activePane="bottomLeft" state="frozen"/>
      <selection pane="bottomLeft" activeCell="K12" sqref="K12"/>
    </sheetView>
  </sheetViews>
  <sheetFormatPr defaultRowHeight="12.75" x14ac:dyDescent="0.2"/>
  <cols>
    <col min="1" max="1" width="22.42578125" bestFit="1" customWidth="1"/>
    <col min="2" max="2" width="49" bestFit="1" customWidth="1"/>
    <col min="3" max="3" width="28" bestFit="1" customWidth="1"/>
    <col min="4" max="4" width="25.140625" bestFit="1" customWidth="1"/>
    <col min="5" max="5" width="10.85546875" bestFit="1" customWidth="1"/>
    <col min="6" max="6" width="13.28515625" bestFit="1" customWidth="1"/>
    <col min="7" max="7" width="10.42578125" bestFit="1" customWidth="1"/>
    <col min="8" max="8" width="14.42578125" bestFit="1" customWidth="1"/>
    <col min="9" max="9" width="13" bestFit="1" customWidth="1"/>
    <col min="10" max="10" width="15.140625" bestFit="1" customWidth="1"/>
    <col min="11" max="11" width="13.7109375" bestFit="1" customWidth="1"/>
    <col min="12" max="12" width="15.5703125" bestFit="1" customWidth="1"/>
    <col min="13" max="13" width="14" bestFit="1" customWidth="1"/>
    <col min="14" max="14" width="21.5703125" bestFit="1" customWidth="1"/>
    <col min="15" max="15" width="20.5703125" bestFit="1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6</v>
      </c>
      <c r="O1" s="1" t="s">
        <v>7</v>
      </c>
    </row>
    <row r="2" spans="1:15" x14ac:dyDescent="0.2">
      <c r="A2" s="2" t="s">
        <v>21</v>
      </c>
      <c r="B2" s="2" t="s">
        <v>22</v>
      </c>
      <c r="C2" s="2" t="s">
        <v>20</v>
      </c>
      <c r="D2" s="2" t="s">
        <v>12</v>
      </c>
      <c r="E2" s="2" t="s">
        <v>19</v>
      </c>
      <c r="F2" s="2" t="s">
        <v>19</v>
      </c>
      <c r="G2" s="4">
        <v>13</v>
      </c>
      <c r="H2" s="5">
        <v>2950</v>
      </c>
      <c r="I2" s="4">
        <v>38350</v>
      </c>
      <c r="J2" s="5">
        <v>500</v>
      </c>
      <c r="K2" s="4">
        <f t="shared" ref="K2:K17" si="0">J2*G2</f>
        <v>6500</v>
      </c>
      <c r="L2" s="5">
        <f t="shared" ref="L2:L17" si="1">J2-H2</f>
        <v>-2450</v>
      </c>
      <c r="M2" s="4">
        <f t="shared" ref="M2:M17" si="2">K2-I2</f>
        <v>-31850</v>
      </c>
      <c r="N2" s="3">
        <v>45985</v>
      </c>
      <c r="O2" s="3">
        <v>46005</v>
      </c>
    </row>
    <row r="3" spans="1:15" x14ac:dyDescent="0.2">
      <c r="A3" s="2" t="s">
        <v>23</v>
      </c>
      <c r="B3" s="2" t="s">
        <v>24</v>
      </c>
      <c r="C3" s="2" t="s">
        <v>25</v>
      </c>
      <c r="D3" s="2" t="s">
        <v>12</v>
      </c>
      <c r="E3" s="2" t="s">
        <v>15</v>
      </c>
      <c r="F3" s="2" t="s">
        <v>15</v>
      </c>
      <c r="G3" s="4">
        <v>4</v>
      </c>
      <c r="H3" s="5">
        <v>7000</v>
      </c>
      <c r="I3" s="4">
        <v>28000</v>
      </c>
      <c r="J3" s="5">
        <v>9000</v>
      </c>
      <c r="K3" s="4">
        <f t="shared" si="0"/>
        <v>36000</v>
      </c>
      <c r="L3" s="5">
        <f t="shared" si="1"/>
        <v>2000</v>
      </c>
      <c r="M3" s="4">
        <f t="shared" si="2"/>
        <v>8000</v>
      </c>
      <c r="N3" s="3">
        <v>45985</v>
      </c>
      <c r="O3" s="3">
        <v>46005</v>
      </c>
    </row>
    <row r="4" spans="1:15" x14ac:dyDescent="0.2">
      <c r="A4" s="2" t="s">
        <v>23</v>
      </c>
      <c r="B4" s="2" t="s">
        <v>24</v>
      </c>
      <c r="C4" s="2" t="s">
        <v>25</v>
      </c>
      <c r="D4" s="2" t="s">
        <v>12</v>
      </c>
      <c r="E4" s="2" t="s">
        <v>8</v>
      </c>
      <c r="F4" s="2" t="s">
        <v>8</v>
      </c>
      <c r="G4" s="4">
        <v>4</v>
      </c>
      <c r="H4" s="5">
        <v>1600</v>
      </c>
      <c r="I4" s="4">
        <v>6400</v>
      </c>
      <c r="J4" s="5">
        <v>172</v>
      </c>
      <c r="K4" s="4">
        <f t="shared" si="0"/>
        <v>688</v>
      </c>
      <c r="L4" s="5">
        <f t="shared" si="1"/>
        <v>-1428</v>
      </c>
      <c r="M4" s="4">
        <f t="shared" si="2"/>
        <v>-5712</v>
      </c>
      <c r="N4" s="3">
        <v>45985</v>
      </c>
      <c r="O4" s="3">
        <v>46005</v>
      </c>
    </row>
    <row r="5" spans="1:15" x14ac:dyDescent="0.2">
      <c r="A5" s="2" t="s">
        <v>23</v>
      </c>
      <c r="B5" s="2" t="s">
        <v>24</v>
      </c>
      <c r="C5" s="2" t="s">
        <v>25</v>
      </c>
      <c r="D5" s="2" t="s">
        <v>12</v>
      </c>
      <c r="E5" s="2" t="s">
        <v>17</v>
      </c>
      <c r="F5" s="2" t="s">
        <v>17</v>
      </c>
      <c r="G5" s="4">
        <v>4</v>
      </c>
      <c r="H5" s="5">
        <v>1100</v>
      </c>
      <c r="I5" s="4">
        <v>4400</v>
      </c>
      <c r="J5" s="5">
        <v>365</v>
      </c>
      <c r="K5" s="4">
        <f t="shared" si="0"/>
        <v>1460</v>
      </c>
      <c r="L5" s="5">
        <f t="shared" si="1"/>
        <v>-735</v>
      </c>
      <c r="M5" s="4">
        <f t="shared" si="2"/>
        <v>-2940</v>
      </c>
      <c r="N5" s="3">
        <v>45985</v>
      </c>
      <c r="O5" s="3">
        <v>46005</v>
      </c>
    </row>
    <row r="6" spans="1:15" x14ac:dyDescent="0.2">
      <c r="A6" s="2" t="s">
        <v>23</v>
      </c>
      <c r="B6" s="2" t="s">
        <v>24</v>
      </c>
      <c r="C6" s="2" t="s">
        <v>25</v>
      </c>
      <c r="D6" s="2" t="s">
        <v>12</v>
      </c>
      <c r="E6" s="2" t="s">
        <v>18</v>
      </c>
      <c r="F6" s="2" t="s">
        <v>18</v>
      </c>
      <c r="G6" s="4">
        <v>4</v>
      </c>
      <c r="H6" s="5">
        <v>1100</v>
      </c>
      <c r="I6" s="4">
        <v>4400</v>
      </c>
      <c r="J6" s="5">
        <v>899</v>
      </c>
      <c r="K6" s="4">
        <f t="shared" si="0"/>
        <v>3596</v>
      </c>
      <c r="L6" s="5">
        <f t="shared" si="1"/>
        <v>-201</v>
      </c>
      <c r="M6" s="4">
        <f t="shared" si="2"/>
        <v>-804</v>
      </c>
      <c r="N6" s="3">
        <v>45985</v>
      </c>
      <c r="O6" s="3">
        <v>46005</v>
      </c>
    </row>
    <row r="7" spans="1:15" x14ac:dyDescent="0.2">
      <c r="A7" s="2" t="s">
        <v>26</v>
      </c>
      <c r="B7" s="2" t="s">
        <v>27</v>
      </c>
      <c r="C7" s="2" t="s">
        <v>28</v>
      </c>
      <c r="D7" s="2" t="s">
        <v>12</v>
      </c>
      <c r="E7" s="2" t="s">
        <v>11</v>
      </c>
      <c r="F7" s="2" t="s">
        <v>11</v>
      </c>
      <c r="G7" s="4">
        <v>50</v>
      </c>
      <c r="H7" s="5">
        <v>2800</v>
      </c>
      <c r="I7" s="4">
        <v>140000</v>
      </c>
      <c r="J7" s="5">
        <v>1504</v>
      </c>
      <c r="K7" s="4">
        <f t="shared" si="0"/>
        <v>75200</v>
      </c>
      <c r="L7" s="5">
        <f t="shared" si="1"/>
        <v>-1296</v>
      </c>
      <c r="M7" s="4">
        <f t="shared" si="2"/>
        <v>-64800</v>
      </c>
      <c r="N7" s="3">
        <v>45999</v>
      </c>
      <c r="O7" s="3">
        <v>46005</v>
      </c>
    </row>
    <row r="8" spans="1:15" x14ac:dyDescent="0.2">
      <c r="A8" s="2" t="s">
        <v>29</v>
      </c>
      <c r="B8" s="2" t="s">
        <v>30</v>
      </c>
      <c r="C8" s="2" t="s">
        <v>31</v>
      </c>
      <c r="D8" s="2" t="s">
        <v>12</v>
      </c>
      <c r="E8" s="2" t="s">
        <v>13</v>
      </c>
      <c r="F8" s="2" t="s">
        <v>13</v>
      </c>
      <c r="G8" s="4">
        <v>10</v>
      </c>
      <c r="H8" s="5">
        <v>1600</v>
      </c>
      <c r="I8" s="4">
        <v>16000</v>
      </c>
      <c r="J8" s="5">
        <v>0</v>
      </c>
      <c r="K8" s="4">
        <f t="shared" si="0"/>
        <v>0</v>
      </c>
      <c r="L8" s="5">
        <f t="shared" si="1"/>
        <v>-1600</v>
      </c>
      <c r="M8" s="4">
        <f t="shared" si="2"/>
        <v>-16000</v>
      </c>
      <c r="N8" s="3">
        <v>45999</v>
      </c>
      <c r="O8" s="3">
        <v>46005</v>
      </c>
    </row>
    <row r="9" spans="1:15" x14ac:dyDescent="0.2">
      <c r="A9" s="2" t="s">
        <v>29</v>
      </c>
      <c r="B9" s="2" t="s">
        <v>30</v>
      </c>
      <c r="C9" s="2" t="s">
        <v>31</v>
      </c>
      <c r="D9" s="2" t="s">
        <v>12</v>
      </c>
      <c r="E9" s="2" t="s">
        <v>14</v>
      </c>
      <c r="F9" s="2" t="s">
        <v>14</v>
      </c>
      <c r="G9" s="4">
        <v>10</v>
      </c>
      <c r="H9" s="5">
        <v>1400</v>
      </c>
      <c r="I9" s="4">
        <v>14000</v>
      </c>
      <c r="J9" s="5">
        <v>0</v>
      </c>
      <c r="K9" s="4">
        <f t="shared" si="0"/>
        <v>0</v>
      </c>
      <c r="L9" s="5">
        <f t="shared" si="1"/>
        <v>-1400</v>
      </c>
      <c r="M9" s="4">
        <f t="shared" si="2"/>
        <v>-14000</v>
      </c>
      <c r="N9" s="3">
        <v>45999</v>
      </c>
      <c r="O9" s="3">
        <v>46005</v>
      </c>
    </row>
    <row r="10" spans="1:15" x14ac:dyDescent="0.2">
      <c r="A10" s="2" t="s">
        <v>29</v>
      </c>
      <c r="B10" s="2" t="s">
        <v>30</v>
      </c>
      <c r="C10" s="2" t="s">
        <v>31</v>
      </c>
      <c r="D10" s="2" t="s">
        <v>12</v>
      </c>
      <c r="E10" s="2" t="s">
        <v>15</v>
      </c>
      <c r="F10" s="2" t="s">
        <v>15</v>
      </c>
      <c r="G10" s="4">
        <v>10</v>
      </c>
      <c r="H10" s="5">
        <v>1800</v>
      </c>
      <c r="I10" s="4">
        <v>18000</v>
      </c>
      <c r="J10" s="5">
        <v>1300</v>
      </c>
      <c r="K10" s="4">
        <f t="shared" si="0"/>
        <v>13000</v>
      </c>
      <c r="L10" s="5">
        <f t="shared" si="1"/>
        <v>-500</v>
      </c>
      <c r="M10" s="4">
        <f t="shared" si="2"/>
        <v>-5000</v>
      </c>
      <c r="N10" s="3">
        <v>45999</v>
      </c>
      <c r="O10" s="3">
        <v>46005</v>
      </c>
    </row>
    <row r="11" spans="1:15" x14ac:dyDescent="0.2">
      <c r="A11" s="2" t="s">
        <v>29</v>
      </c>
      <c r="B11" s="2" t="s">
        <v>30</v>
      </c>
      <c r="C11" s="2" t="s">
        <v>31</v>
      </c>
      <c r="D11" s="2" t="s">
        <v>12</v>
      </c>
      <c r="E11" s="2" t="s">
        <v>16</v>
      </c>
      <c r="F11" s="2" t="s">
        <v>16</v>
      </c>
      <c r="G11" s="4">
        <v>10</v>
      </c>
      <c r="H11" s="5">
        <v>800</v>
      </c>
      <c r="I11" s="4">
        <v>8000</v>
      </c>
      <c r="J11" s="5">
        <v>1112</v>
      </c>
      <c r="K11" s="4">
        <f t="shared" si="0"/>
        <v>11120</v>
      </c>
      <c r="L11" s="5">
        <f t="shared" si="1"/>
        <v>312</v>
      </c>
      <c r="M11" s="4">
        <f t="shared" si="2"/>
        <v>3120</v>
      </c>
      <c r="N11" s="3">
        <v>45999</v>
      </c>
      <c r="O11" s="3">
        <v>46005</v>
      </c>
    </row>
    <row r="12" spans="1:15" x14ac:dyDescent="0.2">
      <c r="A12" s="2" t="s">
        <v>29</v>
      </c>
      <c r="B12" s="2" t="s">
        <v>30</v>
      </c>
      <c r="C12" s="2" t="s">
        <v>31</v>
      </c>
      <c r="D12" s="2" t="s">
        <v>12</v>
      </c>
      <c r="E12" s="2" t="s">
        <v>8</v>
      </c>
      <c r="F12" s="2" t="s">
        <v>8</v>
      </c>
      <c r="G12" s="4">
        <v>10</v>
      </c>
      <c r="H12" s="5">
        <v>900</v>
      </c>
      <c r="I12" s="4">
        <v>9000</v>
      </c>
      <c r="J12" s="5">
        <v>340</v>
      </c>
      <c r="K12" s="4">
        <f t="shared" si="0"/>
        <v>3400</v>
      </c>
      <c r="L12" s="5">
        <f t="shared" si="1"/>
        <v>-560</v>
      </c>
      <c r="M12" s="4">
        <f t="shared" si="2"/>
        <v>-5600</v>
      </c>
      <c r="N12" s="3">
        <v>45999</v>
      </c>
      <c r="O12" s="3">
        <v>46005</v>
      </c>
    </row>
    <row r="13" spans="1:15" x14ac:dyDescent="0.2">
      <c r="A13" s="2" t="s">
        <v>29</v>
      </c>
      <c r="B13" s="2" t="s">
        <v>30</v>
      </c>
      <c r="C13" s="2" t="s">
        <v>31</v>
      </c>
      <c r="D13" s="2" t="s">
        <v>12</v>
      </c>
      <c r="E13" s="2" t="s">
        <v>17</v>
      </c>
      <c r="F13" s="2" t="s">
        <v>17</v>
      </c>
      <c r="G13" s="4">
        <v>10</v>
      </c>
      <c r="H13" s="5">
        <v>500</v>
      </c>
      <c r="I13" s="4">
        <v>5000</v>
      </c>
      <c r="J13" s="5">
        <v>500</v>
      </c>
      <c r="K13" s="4">
        <f t="shared" si="0"/>
        <v>5000</v>
      </c>
      <c r="L13" s="5">
        <f t="shared" si="1"/>
        <v>0</v>
      </c>
      <c r="M13" s="4">
        <f t="shared" si="2"/>
        <v>0</v>
      </c>
      <c r="N13" s="3">
        <v>45999</v>
      </c>
      <c r="O13" s="3">
        <v>46005</v>
      </c>
    </row>
    <row r="14" spans="1:15" x14ac:dyDescent="0.2">
      <c r="A14" s="2" t="s">
        <v>29</v>
      </c>
      <c r="B14" s="2" t="s">
        <v>30</v>
      </c>
      <c r="C14" s="2" t="s">
        <v>31</v>
      </c>
      <c r="D14" s="2" t="s">
        <v>12</v>
      </c>
      <c r="E14" s="2" t="s">
        <v>18</v>
      </c>
      <c r="F14" s="2" t="s">
        <v>18</v>
      </c>
      <c r="G14" s="4">
        <v>10</v>
      </c>
      <c r="H14" s="5">
        <v>1300</v>
      </c>
      <c r="I14" s="4">
        <v>13000</v>
      </c>
      <c r="J14" s="5">
        <v>1300</v>
      </c>
      <c r="K14" s="4">
        <f t="shared" si="0"/>
        <v>13000</v>
      </c>
      <c r="L14" s="5">
        <f t="shared" si="1"/>
        <v>0</v>
      </c>
      <c r="M14" s="4">
        <f t="shared" si="2"/>
        <v>0</v>
      </c>
      <c r="N14" s="3">
        <v>45999</v>
      </c>
      <c r="O14" s="3">
        <v>46005</v>
      </c>
    </row>
    <row r="15" spans="1:15" x14ac:dyDescent="0.2">
      <c r="A15" s="2" t="s">
        <v>29</v>
      </c>
      <c r="B15" s="2" t="s">
        <v>30</v>
      </c>
      <c r="C15" s="2" t="s">
        <v>31</v>
      </c>
      <c r="D15" s="2" t="s">
        <v>12</v>
      </c>
      <c r="E15" s="2" t="s">
        <v>9</v>
      </c>
      <c r="F15" s="2" t="s">
        <v>9</v>
      </c>
      <c r="G15" s="4">
        <v>30</v>
      </c>
      <c r="H15" s="5">
        <v>600</v>
      </c>
      <c r="I15" s="4">
        <v>18000</v>
      </c>
      <c r="J15" s="5">
        <v>180</v>
      </c>
      <c r="K15" s="4">
        <f t="shared" si="0"/>
        <v>5400</v>
      </c>
      <c r="L15" s="5">
        <f t="shared" si="1"/>
        <v>-420</v>
      </c>
      <c r="M15" s="4">
        <f t="shared" si="2"/>
        <v>-12600</v>
      </c>
      <c r="N15" s="3">
        <v>45999</v>
      </c>
      <c r="O15" s="3">
        <v>46005</v>
      </c>
    </row>
    <row r="16" spans="1:15" x14ac:dyDescent="0.2">
      <c r="A16" s="2" t="s">
        <v>29</v>
      </c>
      <c r="B16" s="2" t="s">
        <v>30</v>
      </c>
      <c r="C16" s="2" t="s">
        <v>31</v>
      </c>
      <c r="D16" s="2" t="s">
        <v>12</v>
      </c>
      <c r="E16" s="2" t="s">
        <v>10</v>
      </c>
      <c r="F16" s="2" t="s">
        <v>10</v>
      </c>
      <c r="G16" s="4">
        <v>30</v>
      </c>
      <c r="H16" s="5">
        <v>50</v>
      </c>
      <c r="I16" s="4">
        <v>1500</v>
      </c>
      <c r="J16" s="5">
        <v>186</v>
      </c>
      <c r="K16" s="4">
        <f t="shared" si="0"/>
        <v>5580</v>
      </c>
      <c r="L16" s="5">
        <f t="shared" si="1"/>
        <v>136</v>
      </c>
      <c r="M16" s="4">
        <f t="shared" si="2"/>
        <v>4080</v>
      </c>
      <c r="N16" s="3">
        <v>45999</v>
      </c>
      <c r="O16" s="3">
        <v>46005</v>
      </c>
    </row>
    <row r="17" spans="1:15" x14ac:dyDescent="0.2">
      <c r="A17" s="2" t="s">
        <v>29</v>
      </c>
      <c r="B17" s="2" t="s">
        <v>30</v>
      </c>
      <c r="C17" s="2" t="s">
        <v>31</v>
      </c>
      <c r="D17" s="2" t="s">
        <v>12</v>
      </c>
      <c r="E17" s="2" t="s">
        <v>11</v>
      </c>
      <c r="F17" s="2" t="s">
        <v>11</v>
      </c>
      <c r="G17" s="4">
        <v>80</v>
      </c>
      <c r="H17" s="5">
        <v>1200</v>
      </c>
      <c r="I17" s="4">
        <v>96000</v>
      </c>
      <c r="J17" s="5">
        <v>436</v>
      </c>
      <c r="K17" s="4">
        <f t="shared" si="0"/>
        <v>34880</v>
      </c>
      <c r="L17" s="5">
        <f t="shared" si="1"/>
        <v>-764</v>
      </c>
      <c r="M17" s="4">
        <f t="shared" si="2"/>
        <v>-61120</v>
      </c>
      <c r="N17" s="3">
        <v>45999</v>
      </c>
      <c r="O17" s="3">
        <v>46005</v>
      </c>
    </row>
  </sheetData>
  <autoFilter ref="A1:O17" xr:uid="{00000000-0001-0000-0000-000000000000}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2025-12-08T16:00:18Z</dcterms:created>
  <dcterms:modified xsi:type="dcterms:W3CDTF">2025-12-10T17:04:52Z</dcterms:modified>
  <cp:category/>
</cp:coreProperties>
</file>