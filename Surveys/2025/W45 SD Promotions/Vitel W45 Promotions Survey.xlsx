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5 SD Promotions\"/>
    </mc:Choice>
  </mc:AlternateContent>
  <xr:revisionPtr revIDLastSave="0" documentId="13_ncr:1_{3D73BF40-4589-427E-B739-03EE2C59D90B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L3" i="1"/>
  <c r="L2" i="1"/>
  <c r="K6" i="1"/>
  <c r="M6" i="1" s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<sst xmlns="http://schemas.openxmlformats.org/spreadsheetml/2006/main" count="45" uniqueCount="27">
  <si>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</si>
  <si>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</si>
  <si>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</si>
  <si>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</si>
  <si>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</si>
  <si>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</si>
  <si>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</si>
  <si>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</si>
  <si>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G-WATCH8</t>
  </si>
  <si>
    <t>G-WATCH8-CLASSIC</t>
  </si>
  <si>
    <t>VITEL MOBILE, INC.</t>
  </si>
  <si>
    <t>G-Z-FLIP7</t>
  </si>
  <si>
    <t>G-Z-FLIP7-FE</t>
  </si>
  <si>
    <t>G-Z-FOLD7</t>
  </si>
  <si>
    <t>A2S3A0A250000400</t>
  </si>
  <si>
    <t>A0S3A0A250001042</t>
  </si>
  <si>
    <t>VITEL W43-W45 Foldables Series Sustain ST Promo</t>
  </si>
  <si>
    <t>A2S3A0A250000419</t>
  </si>
  <si>
    <t>A0S3A0A250001122</t>
  </si>
  <si>
    <t>Vitel W45 Watch8 Sustain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</si>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</sst>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2" fillId="2" borderId="1" xfId="0" applyFont="1" applyFill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showGridLines="0" tabSelected="1" topLeftCell="C1" workbookViewId="0">
      <pane ySplit="1" topLeftCell="A2" activePane="bottomLeft" state="frozen"/>
      <selection pane="bottomLeft" activeCell="J5" sqref="J5"/>
    </sheetView>
  </sheetViews>
  <sheetFormatPr defaultRowHeight="12.75" x14ac:dyDescent="0.2"/>
  <cols>
    <col min="1" max="1" width="22.42578125" bestFit="1" customWidth="1"/>
    <col min="2" max="2" width="45.42578125" bestFit="1" customWidth="1"/>
    <col min="3" max="3" width="28" bestFit="1" customWidth="1"/>
    <col min="4" max="4" width="27.85546875" bestFit="1" customWidth="1"/>
    <col min="5" max="6" width="16.1406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8" t="s">
        <v>25</v>
      </c>
      <c r="M1" s="8" t="s">
        <v>26</v>
      </c>
      <c r="N1" s="1" t="s">
        <v>6</v>
      </c>
      <c r="O1" s="1" t="s">
        <v>7</v>
      </c>
    </row>
    <row r="2" spans="1:15" x14ac:dyDescent="0.2">
      <c r="A2" s="2" t="s">
        <v>15</v>
      </c>
      <c r="B2" s="2" t="s">
        <v>16</v>
      </c>
      <c r="C2" s="2" t="s">
        <v>14</v>
      </c>
      <c r="D2" s="2" t="s">
        <v>10</v>
      </c>
      <c r="E2" s="2" t="s">
        <v>11</v>
      </c>
      <c r="F2" s="2" t="s">
        <v>11</v>
      </c>
      <c r="G2" s="6">
        <v>80</v>
      </c>
      <c r="H2" s="7">
        <v>79</v>
      </c>
      <c r="I2" s="6">
        <v>6320</v>
      </c>
      <c r="J2" s="5">
        <v>28</v>
      </c>
      <c r="K2" s="4">
        <f t="shared" ref="K2:K4" si="0">J2*G2</f>
        <v>2240</v>
      </c>
      <c r="L2" s="7">
        <f t="shared" ref="L2:L4" si="1">J2-H2</f>
        <v>-51</v>
      </c>
      <c r="M2" s="6">
        <f t="shared" ref="M2:M4" si="2">K2-I2</f>
        <v>-4080</v>
      </c>
      <c r="N2" s="3">
        <v>45950</v>
      </c>
      <c r="O2" s="3">
        <v>45970</v>
      </c>
    </row>
    <row r="3" spans="1:15" x14ac:dyDescent="0.2">
      <c r="A3" s="2" t="s">
        <v>15</v>
      </c>
      <c r="B3" s="2" t="s">
        <v>16</v>
      </c>
      <c r="C3" s="2" t="s">
        <v>14</v>
      </c>
      <c r="D3" s="2" t="s">
        <v>10</v>
      </c>
      <c r="E3" s="2" t="s">
        <v>12</v>
      </c>
      <c r="F3" s="2" t="s">
        <v>12</v>
      </c>
      <c r="G3" s="6">
        <v>120</v>
      </c>
      <c r="H3" s="7">
        <v>343</v>
      </c>
      <c r="I3" s="6">
        <v>41160</v>
      </c>
      <c r="J3" s="5">
        <v>12</v>
      </c>
      <c r="K3" s="4">
        <f t="shared" si="0"/>
        <v>1440</v>
      </c>
      <c r="L3" s="7">
        <f t="shared" si="1"/>
        <v>-331</v>
      </c>
      <c r="M3" s="6">
        <f t="shared" si="2"/>
        <v>-39720</v>
      </c>
      <c r="N3" s="3">
        <v>45950</v>
      </c>
      <c r="O3" s="3">
        <v>45970</v>
      </c>
    </row>
    <row r="4" spans="1:15" x14ac:dyDescent="0.2">
      <c r="A4" s="2" t="s">
        <v>15</v>
      </c>
      <c r="B4" s="2" t="s">
        <v>16</v>
      </c>
      <c r="C4" s="2" t="s">
        <v>14</v>
      </c>
      <c r="D4" s="2" t="s">
        <v>10</v>
      </c>
      <c r="E4" s="2" t="s">
        <v>13</v>
      </c>
      <c r="F4" s="2" t="s">
        <v>13</v>
      </c>
      <c r="G4" s="6">
        <v>100</v>
      </c>
      <c r="H4" s="7">
        <v>66</v>
      </c>
      <c r="I4" s="6">
        <v>6600</v>
      </c>
      <c r="J4" s="5">
        <v>50</v>
      </c>
      <c r="K4" s="4">
        <f t="shared" si="0"/>
        <v>5000</v>
      </c>
      <c r="L4" s="7">
        <f t="shared" si="1"/>
        <v>-16</v>
      </c>
      <c r="M4" s="6">
        <f t="shared" si="2"/>
        <v>-1600</v>
      </c>
      <c r="N4" s="3">
        <v>45950</v>
      </c>
      <c r="O4" s="3">
        <v>45970</v>
      </c>
    </row>
    <row r="5" spans="1:15" x14ac:dyDescent="0.2">
      <c r="A5" s="9" t="s">
        <v>18</v>
      </c>
      <c r="B5" s="9" t="s">
        <v>19</v>
      </c>
      <c r="C5" s="9" t="s">
        <v>17</v>
      </c>
      <c r="D5" s="9" t="s">
        <v>10</v>
      </c>
      <c r="E5" s="9" t="s">
        <v>8</v>
      </c>
      <c r="F5" s="9" t="s">
        <v>8</v>
      </c>
      <c r="G5" s="6">
        <v>43</v>
      </c>
      <c r="H5" s="7">
        <v>152</v>
      </c>
      <c r="I5" s="6">
        <v>6536</v>
      </c>
      <c r="J5" s="7">
        <v>5</v>
      </c>
      <c r="K5" s="6">
        <f t="shared" ref="K5:K6" si="3">J5*G5</f>
        <v>215</v>
      </c>
      <c r="L5" s="7">
        <f t="shared" ref="L5:L6" si="4">J5-H5</f>
        <v>-147</v>
      </c>
      <c r="M5" s="6">
        <f t="shared" ref="M5:M6" si="5">K5-I5</f>
        <v>-6321</v>
      </c>
      <c r="N5" s="10">
        <v>45964</v>
      </c>
      <c r="O5" s="10">
        <v>45970</v>
      </c>
    </row>
    <row r="6" spans="1:15" x14ac:dyDescent="0.2">
      <c r="A6" s="9" t="s">
        <v>18</v>
      </c>
      <c r="B6" s="9" t="s">
        <v>19</v>
      </c>
      <c r="C6" s="9" t="s">
        <v>17</v>
      </c>
      <c r="D6" s="9" t="s">
        <v>10</v>
      </c>
      <c r="E6" s="9" t="s">
        <v>9</v>
      </c>
      <c r="F6" s="9" t="s">
        <v>9</v>
      </c>
      <c r="G6" s="6">
        <v>77</v>
      </c>
      <c r="H6" s="7">
        <v>152</v>
      </c>
      <c r="I6" s="6">
        <v>11704</v>
      </c>
      <c r="J6" s="7">
        <v>295</v>
      </c>
      <c r="K6" s="6">
        <f t="shared" si="3"/>
        <v>22715</v>
      </c>
      <c r="L6" s="7">
        <f t="shared" si="4"/>
        <v>143</v>
      </c>
      <c r="M6" s="6">
        <f t="shared" si="5"/>
        <v>11011</v>
      </c>
      <c r="N6" s="10">
        <v>45964</v>
      </c>
      <c r="O6" s="10">
        <v>45970</v>
      </c>
    </row>
  </sheetData>
  <autoFilter ref="A1:O6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2025-11-03T19:09:40Z</dcterms:created>
  <dcterms:modified xsi:type="dcterms:W3CDTF">2025-11-05T15:32:28Z</dcterms:modified>
  <cp:category/>
</cp:coreProperties>
</file>