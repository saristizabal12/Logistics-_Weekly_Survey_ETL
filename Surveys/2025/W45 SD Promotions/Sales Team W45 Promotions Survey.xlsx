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5 SD Promotions\"/>
    </mc:Choice>
  </mc:AlternateContent>
  <xr:revisionPtr revIDLastSave="0" documentId="13_ncr:1_{542EB4E9-39F0-41C2-BDFA-273AF460B9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3" l="1"/>
  <c r="L6" i="13" s="1"/>
  <c r="J5" i="13"/>
  <c r="L5" i="13" s="1"/>
  <c r="G6" i="13"/>
  <c r="G5" i="13"/>
  <c r="G4" i="13"/>
  <c r="P3" i="13" s="1"/>
  <c r="G3" i="13"/>
  <c r="G2" i="13"/>
  <c r="P2" i="13" s="1"/>
  <c r="J4" i="13"/>
  <c r="L4" i="13" s="1"/>
  <c r="J3" i="13"/>
  <c r="L3" i="13" s="1"/>
  <c r="J2" i="13"/>
  <c r="K2" i="13" s="1"/>
  <c r="Q3" i="13" l="1"/>
  <c r="S2" i="13" s="1"/>
  <c r="M6" i="13"/>
  <c r="N6" i="13" s="1"/>
  <c r="M5" i="13"/>
  <c r="N5" i="13" s="1"/>
  <c r="K6" i="13"/>
  <c r="K5" i="13"/>
  <c r="M3" i="13"/>
  <c r="N3" i="13" s="1"/>
  <c r="M4" i="13"/>
  <c r="N4" i="13" s="1"/>
  <c r="K4" i="13"/>
  <c r="L2" i="13"/>
  <c r="Q2" i="13" s="1"/>
  <c r="K3" i="13"/>
  <c r="R2" i="13" l="1"/>
  <c r="M2" i="13"/>
  <c r="N2" i="13" s="1"/>
</calcChain>
</file>

<file path=xl/sharedStrings.xml><?xml version="1.0" encoding="utf-8"?>
<sst xmlns="http://schemas.openxmlformats.org/spreadsheetml/2006/main" count="35" uniqueCount="23">
  <si>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</si>
  <si>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</si>
  <si>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</si>
  <si>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</si>
  <si>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</si>
  <si>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</si>
  <si>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</si>
  <si>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</si>
  <si>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</si>
  <si>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</si>
  <si>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</si>
  <si>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</si>
  <si>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</si>
  <si>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A0S3A0A250001042</t>
  </si>
  <si>
    <t>A0S3A0A250001122</t>
  </si>
  <si>
    <t>VITEL W43-W45 Foldables Series Sustain ST Promo</t>
  </si>
  <si>
    <t>Vitel W45 Watch8 Sustain ST Promo</t>
  </si>
  <si>
    <t>G-Z-FLIP7</t>
  </si>
  <si>
    <t>G-Z-FLIP7-FE</t>
  </si>
  <si>
    <t>G-Z-FOLD7</t>
  </si>
  <si>
    <t>G-WATCH8</t>
  </si>
  <si>
    <t>G-WATCH8-CLASSIC</t>
  </si>
  <si>
    <t>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</si>
</sst>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4" fontId="0" fillId="4" borderId="1" xfId="0" applyNumberFormat="1" applyFill="1" applyBorder="1"/>
    <xf numFmtId="0" fontId="2" fillId="5" borderId="1" xfId="0" quotePrefix="1" applyFont="1" applyFill="1" applyBorder="1"/>
    <xf numFmtId="1" fontId="0" fillId="3" borderId="0" xfId="0" applyNumberFormat="1" applyFill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1"/>
  <sheetViews>
    <sheetView showGridLines="0" tabSelected="1" zoomScaleNormal="100" workbookViewId="0">
      <pane ySplit="1" topLeftCell="A2" activePane="bottomLeft" state="frozen"/>
      <selection pane="bottomLeft" activeCell="I6" sqref="I6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22</v>
      </c>
      <c r="S1" s="11">
        <v>1122</v>
      </c>
    </row>
    <row r="2" spans="1:19" ht="18" customHeight="1" x14ac:dyDescent="0.2">
      <c r="A2" s="14" t="s">
        <v>13</v>
      </c>
      <c r="B2" s="14" t="s">
        <v>15</v>
      </c>
      <c r="C2" s="14" t="s">
        <v>17</v>
      </c>
      <c r="D2" s="14" t="s">
        <v>17</v>
      </c>
      <c r="E2" s="2">
        <v>80</v>
      </c>
      <c r="F2" s="15">
        <v>79</v>
      </c>
      <c r="G2" s="2">
        <f>E2*F2</f>
        <v>6320</v>
      </c>
      <c r="H2" s="3">
        <v>41</v>
      </c>
      <c r="I2" s="3">
        <v>20</v>
      </c>
      <c r="J2" s="3">
        <f t="shared" ref="J2:J3" si="0">H2+I2</f>
        <v>61</v>
      </c>
      <c r="K2" s="3">
        <f t="shared" ref="K2:K3" si="1">F2-J2</f>
        <v>18</v>
      </c>
      <c r="L2" s="4">
        <f t="shared" ref="L2:L3" si="2">J2*E2</f>
        <v>4880</v>
      </c>
      <c r="M2" s="4">
        <f t="shared" ref="M2:M3" si="3">G2-L2</f>
        <v>1440</v>
      </c>
      <c r="N2" s="13" t="str">
        <f t="shared" ref="N2:N3" si="4">IF(M2&gt;0,"KEEP SELLING", "DO NOT SELL")</f>
        <v>KEEP SELLING</v>
      </c>
      <c r="P2" s="10">
        <f>SUM(G2:G3)</f>
        <v>47480</v>
      </c>
      <c r="Q2" s="9">
        <f>SUM(L2:L3)</f>
        <v>7880</v>
      </c>
      <c r="R2" s="12">
        <f>P2-Q2</f>
        <v>39600</v>
      </c>
      <c r="S2" s="12">
        <f>P3-Q3</f>
        <v>-186</v>
      </c>
    </row>
    <row r="3" spans="1:19" ht="18" customHeight="1" x14ac:dyDescent="0.2">
      <c r="A3" s="14" t="s">
        <v>13</v>
      </c>
      <c r="B3" s="14" t="s">
        <v>15</v>
      </c>
      <c r="C3" s="14" t="s">
        <v>18</v>
      </c>
      <c r="D3" s="14" t="s">
        <v>18</v>
      </c>
      <c r="E3" s="2">
        <v>120</v>
      </c>
      <c r="F3" s="15">
        <v>343</v>
      </c>
      <c r="G3" s="2">
        <f t="shared" ref="G3:G6" si="5">E3*F3</f>
        <v>41160</v>
      </c>
      <c r="H3" s="3">
        <v>15</v>
      </c>
      <c r="I3" s="3">
        <v>10</v>
      </c>
      <c r="J3" s="3">
        <f t="shared" si="0"/>
        <v>25</v>
      </c>
      <c r="K3" s="3">
        <f t="shared" si="1"/>
        <v>318</v>
      </c>
      <c r="L3" s="4">
        <f t="shared" si="2"/>
        <v>3000</v>
      </c>
      <c r="M3" s="4">
        <f t="shared" si="3"/>
        <v>38160</v>
      </c>
      <c r="N3" s="13" t="str">
        <f t="shared" si="4"/>
        <v>KEEP SELLING</v>
      </c>
      <c r="P3" s="10">
        <f>SUM(G4:G6)</f>
        <v>24840</v>
      </c>
      <c r="Q3" s="9">
        <f>SUM(L3:L6)</f>
        <v>25026</v>
      </c>
    </row>
    <row r="4" spans="1:19" ht="18" customHeight="1" x14ac:dyDescent="0.2">
      <c r="A4" s="14" t="s">
        <v>13</v>
      </c>
      <c r="B4" s="14" t="s">
        <v>15</v>
      </c>
      <c r="C4" s="14" t="s">
        <v>19</v>
      </c>
      <c r="D4" s="14" t="s">
        <v>19</v>
      </c>
      <c r="E4" s="2">
        <v>100</v>
      </c>
      <c r="F4" s="15">
        <v>66</v>
      </c>
      <c r="G4" s="2">
        <f t="shared" si="5"/>
        <v>6600</v>
      </c>
      <c r="H4" s="3">
        <v>50</v>
      </c>
      <c r="I4" s="3"/>
      <c r="J4" s="3">
        <f t="shared" ref="J4" si="6">H4+I4</f>
        <v>50</v>
      </c>
      <c r="K4" s="3">
        <f t="shared" ref="K4" si="7">F4-J4</f>
        <v>16</v>
      </c>
      <c r="L4" s="4">
        <f t="shared" ref="L4" si="8">J4*E4</f>
        <v>5000</v>
      </c>
      <c r="M4" s="4">
        <f t="shared" ref="M4" si="9">G4-L4</f>
        <v>1600</v>
      </c>
      <c r="N4" s="13" t="str">
        <f t="shared" ref="N4" si="10">IF(M4&gt;0,"KEEP SELLING", "DO NOT SELL")</f>
        <v>KEEP SELLING</v>
      </c>
      <c r="P4" s="10"/>
      <c r="Q4" s="9"/>
    </row>
    <row r="5" spans="1:19" ht="18" customHeight="1" x14ac:dyDescent="0.2">
      <c r="A5" s="14" t="s">
        <v>14</v>
      </c>
      <c r="B5" s="14" t="s">
        <v>16</v>
      </c>
      <c r="C5" s="14" t="s">
        <v>20</v>
      </c>
      <c r="D5" s="14" t="s">
        <v>20</v>
      </c>
      <c r="E5" s="2">
        <v>43</v>
      </c>
      <c r="F5" s="15">
        <v>152</v>
      </c>
      <c r="G5" s="2">
        <f t="shared" si="5"/>
        <v>6536</v>
      </c>
      <c r="H5" s="3">
        <v>4</v>
      </c>
      <c r="I5" s="3">
        <v>75</v>
      </c>
      <c r="J5" s="3">
        <f t="shared" ref="J5:J6" si="11">H5+I5</f>
        <v>79</v>
      </c>
      <c r="K5" s="3">
        <f t="shared" ref="K5:K6" si="12">F5-J5</f>
        <v>73</v>
      </c>
      <c r="L5" s="4">
        <f t="shared" ref="L5:L6" si="13">J5*E5</f>
        <v>3397</v>
      </c>
      <c r="M5" s="4">
        <f t="shared" ref="M5:M6" si="14">G5-L5</f>
        <v>3139</v>
      </c>
      <c r="N5" s="13" t="str">
        <f t="shared" ref="N5:N6" si="15">IF(M5&gt;0,"KEEP SELLING", "DO NOT SELL")</f>
        <v>KEEP SELLING</v>
      </c>
    </row>
    <row r="6" spans="1:19" ht="18" customHeight="1" x14ac:dyDescent="0.2">
      <c r="A6" s="14" t="s">
        <v>14</v>
      </c>
      <c r="B6" s="14" t="s">
        <v>16</v>
      </c>
      <c r="C6" s="14" t="s">
        <v>21</v>
      </c>
      <c r="D6" s="14" t="s">
        <v>21</v>
      </c>
      <c r="E6" s="2">
        <v>77</v>
      </c>
      <c r="F6" s="15">
        <v>152</v>
      </c>
      <c r="G6" s="2">
        <f t="shared" si="5"/>
        <v>11704</v>
      </c>
      <c r="H6" s="3">
        <v>152</v>
      </c>
      <c r="I6" s="3">
        <v>25</v>
      </c>
      <c r="J6" s="3">
        <f t="shared" si="11"/>
        <v>177</v>
      </c>
      <c r="K6" s="3">
        <f t="shared" si="12"/>
        <v>-25</v>
      </c>
      <c r="L6" s="4">
        <f t="shared" si="13"/>
        <v>13629</v>
      </c>
      <c r="M6" s="4">
        <f t="shared" si="14"/>
        <v>-1925</v>
      </c>
      <c r="N6" s="13" t="str">
        <f t="shared" si="15"/>
        <v>DO NOT SELL</v>
      </c>
    </row>
    <row r="9" spans="1:19" ht="18" customHeight="1" x14ac:dyDescent="0.2">
      <c r="I9" s="17"/>
    </row>
    <row r="10" spans="1:19" ht="18" customHeight="1" x14ac:dyDescent="0.2">
      <c r="I10" s="17"/>
    </row>
    <row r="11" spans="1:19" ht="18" customHeight="1" x14ac:dyDescent="0.2">
      <c r="I11" s="17"/>
    </row>
  </sheetData>
  <conditionalFormatting sqref="H2:I6 K2:N6 I9:I11">
    <cfRule type="cellIs" dxfId="2" priority="1" operator="lessThan">
      <formula>0</formula>
    </cfRule>
  </conditionalFormatting>
  <conditionalFormatting sqref="N1:N1048576">
    <cfRule type="containsText" dxfId="1" priority="5" operator="containsText" text="DO NOT SELL">
      <formula>NOT(ISERROR(SEARCH("DO NOT SELL",N1)))</formula>
    </cfRule>
    <cfRule type="containsText" dxfId="0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2025-11-07T21:51:47Z</dcterms:modified>
  <cp:category/>
  <cp:contentStatus/>
</cp:coreProperties>
</file>