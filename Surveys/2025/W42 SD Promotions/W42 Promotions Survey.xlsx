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ristizabal\Documents\Reports\Surveys\W42 SD Promotions\"/>
    </mc:Choice>
  </mc:AlternateContent>
  <xr:revisionPtr revIDLastSave="0" documentId="13_ncr:1_{66CA19F4-3C82-4E5C-A10A-4EE885C732FC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Survey" sheetId="1" r:id="rId1"/>
  </sheets>
  <definedNames>
    <definedName name="_xlnm._FilterDatabase" localSheetId="0" hidden="1">Survey!$A$1:$O$4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4" i="1" l="1"/>
  <c r="M4" i="1" s="1"/>
  <c r="K3" i="1"/>
  <c r="M3" i="1" s="1"/>
  <c r="K2" i="1"/>
  <c r="M2" i="1" s="1"/>
  <c r="L4" i="1"/>
  <c r="L3" i="1"/>
  <c r="L2" i="1"/>
</calcChain>
</file>

<file path=xl/sharedStrings.xml><?xml version="1.0" encoding="utf-8"?>
<sst xmlns="http://schemas.openxmlformats.org/spreadsheetml/2006/main" count="33" uniqueCount="22">
  <si>
    <t>Condition Document No</t>
  </si>
  <si>
    <t>Condition Text</t>
  </si>
  <si>
    <t>Group Condition Document No</t>
  </si>
  <si>
    <t>Customer Text</t>
  </si>
  <si>
    <t>Product</t>
  </si>
  <si>
    <t>Product Text</t>
  </si>
  <si>
    <t>Start Date of Condition</t>
  </si>
  <si>
    <t>End Date of Condition</t>
  </si>
  <si>
    <t>G-Z-FLIP7</t>
  </si>
  <si>
    <t>G-Z-FLIP7-FE</t>
  </si>
  <si>
    <t>G-Z-FOLD7</t>
  </si>
  <si>
    <t>VITEL MOBILE, INC.</t>
  </si>
  <si>
    <t>W40-W42 Foldables Series Sustain ST Promo</t>
  </si>
  <si>
    <t>A2S3A0A250000371</t>
  </si>
  <si>
    <t>A0S3A0A250000980</t>
  </si>
  <si>
    <t>Incentive</t>
  </si>
  <si>
    <t>AS-IS Quantity</t>
  </si>
  <si>
    <t>AS-IS Amt($)</t>
  </si>
  <si>
    <t>TO-BE Quantity</t>
  </si>
  <si>
    <t>TO-BE Amt($)</t>
  </si>
  <si>
    <t>DELTA Quantity</t>
  </si>
  <si>
    <t>DELTA Amt($)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</si>
</sst>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4" formatCode="yyyy/mm/dd"/>
  </numFmts>
  <fonts count="2" x14ac:knownFonts="1">
    <font>
      <sz val="10"/>
      <color theme="1"/>
      <name val="Calibri"/>
    </font>
    <font>
      <b/>
      <sz val="10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9FFC3"/>
        <bgColor indexed="64"/>
      </patternFill>
    </fill>
    <fill>
      <patternFill patternType="solid">
        <fgColor rgb="FFFFFFE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164" fontId="0" fillId="0" borderId="1" xfId="0" applyNumberFormat="1" applyBorder="1"/>
    <xf numFmtId="4" fontId="0" fillId="3" borderId="1" xfId="0" applyNumberFormat="1" applyFill="1" applyBorder="1"/>
    <xf numFmtId="8" fontId="0" fillId="3" borderId="1" xfId="0" applyNumberForma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"/>
  <sheetViews>
    <sheetView showGridLines="0" tabSelected="1" workbookViewId="0">
      <pane ySplit="1" topLeftCell="A2" activePane="bottomLeft" state="frozen"/>
      <selection pane="bottomLeft" activeCell="L3" sqref="L3"/>
    </sheetView>
  </sheetViews>
  <sheetFormatPr defaultRowHeight="12.75" x14ac:dyDescent="0.2"/>
  <cols>
    <col min="1" max="1" width="22.42578125" bestFit="1" customWidth="1"/>
    <col min="2" max="2" width="38.7109375" bestFit="1" customWidth="1"/>
    <col min="3" max="3" width="28" bestFit="1" customWidth="1"/>
    <col min="4" max="4" width="32.7109375" bestFit="1" customWidth="1"/>
    <col min="5" max="5" width="15.42578125" bestFit="1" customWidth="1"/>
    <col min="6" max="6" width="26.5703125" bestFit="1" customWidth="1"/>
    <col min="7" max="7" width="10.42578125" bestFit="1" customWidth="1"/>
    <col min="8" max="8" width="14.42578125" bestFit="1" customWidth="1"/>
    <col min="9" max="9" width="13.140625" bestFit="1" customWidth="1"/>
    <col min="10" max="10" width="15.140625" bestFit="1" customWidth="1"/>
    <col min="11" max="11" width="13.85546875" bestFit="1" customWidth="1"/>
    <col min="12" max="12" width="15.5703125" bestFit="1" customWidth="1"/>
    <col min="13" max="13" width="14.140625" bestFit="1" customWidth="1"/>
    <col min="14" max="14" width="21.5703125" bestFit="1" customWidth="1"/>
    <col min="15" max="15" width="20.5703125" bestFit="1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19</v>
      </c>
      <c r="L1" s="1" t="s">
        <v>20</v>
      </c>
      <c r="M1" s="1" t="s">
        <v>21</v>
      </c>
      <c r="N1" s="1" t="s">
        <v>6</v>
      </c>
      <c r="O1" s="1" t="s">
        <v>7</v>
      </c>
    </row>
    <row r="2" spans="1:15" x14ac:dyDescent="0.2">
      <c r="A2" s="2" t="s">
        <v>14</v>
      </c>
      <c r="B2" s="2" t="s">
        <v>12</v>
      </c>
      <c r="C2" s="2" t="s">
        <v>13</v>
      </c>
      <c r="D2" s="2" t="s">
        <v>11</v>
      </c>
      <c r="E2" s="2" t="s">
        <v>8</v>
      </c>
      <c r="F2" s="2" t="s">
        <v>8</v>
      </c>
      <c r="G2" s="5">
        <v>80</v>
      </c>
      <c r="H2" s="4">
        <v>63</v>
      </c>
      <c r="I2" s="5">
        <v>5040</v>
      </c>
      <c r="J2" s="4">
        <v>65</v>
      </c>
      <c r="K2" s="5">
        <f t="shared" ref="K2:K4" si="0">J2*$G2</f>
        <v>5200</v>
      </c>
      <c r="L2" s="4">
        <f t="shared" ref="L2:L4" si="1">J2-H2</f>
        <v>2</v>
      </c>
      <c r="M2" s="5">
        <f t="shared" ref="M2:M4" si="2">K2-I2</f>
        <v>160</v>
      </c>
      <c r="N2" s="3">
        <v>45929</v>
      </c>
      <c r="O2" s="3">
        <v>45949</v>
      </c>
    </row>
    <row r="3" spans="1:15" x14ac:dyDescent="0.2">
      <c r="A3" s="2" t="s">
        <v>14</v>
      </c>
      <c r="B3" s="2" t="s">
        <v>12</v>
      </c>
      <c r="C3" s="2" t="s">
        <v>13</v>
      </c>
      <c r="D3" s="2" t="s">
        <v>11</v>
      </c>
      <c r="E3" s="2" t="s">
        <v>9</v>
      </c>
      <c r="F3" s="2" t="s">
        <v>9</v>
      </c>
      <c r="G3" s="5">
        <v>120</v>
      </c>
      <c r="H3" s="4">
        <v>389</v>
      </c>
      <c r="I3" s="5">
        <v>46680</v>
      </c>
      <c r="J3" s="4">
        <v>104</v>
      </c>
      <c r="K3" s="5">
        <f t="shared" si="0"/>
        <v>12480</v>
      </c>
      <c r="L3" s="4">
        <f t="shared" si="1"/>
        <v>-285</v>
      </c>
      <c r="M3" s="5">
        <f t="shared" si="2"/>
        <v>-34200</v>
      </c>
      <c r="N3" s="3">
        <v>45929</v>
      </c>
      <c r="O3" s="3">
        <v>45949</v>
      </c>
    </row>
    <row r="4" spans="1:15" x14ac:dyDescent="0.2">
      <c r="A4" s="2" t="s">
        <v>14</v>
      </c>
      <c r="B4" s="2" t="s">
        <v>12</v>
      </c>
      <c r="C4" s="2" t="s">
        <v>13</v>
      </c>
      <c r="D4" s="2" t="s">
        <v>11</v>
      </c>
      <c r="E4" s="2" t="s">
        <v>10</v>
      </c>
      <c r="F4" s="2" t="s">
        <v>10</v>
      </c>
      <c r="G4" s="5">
        <v>100</v>
      </c>
      <c r="H4" s="4">
        <v>97</v>
      </c>
      <c r="I4" s="5">
        <v>9700</v>
      </c>
      <c r="J4" s="4">
        <v>81</v>
      </c>
      <c r="K4" s="5">
        <f t="shared" si="0"/>
        <v>8100</v>
      </c>
      <c r="L4" s="4">
        <f t="shared" si="1"/>
        <v>-16</v>
      </c>
      <c r="M4" s="5">
        <f t="shared" si="2"/>
        <v>-1600</v>
      </c>
      <c r="N4" s="3">
        <v>45929</v>
      </c>
      <c r="O4" s="3">
        <v>45949</v>
      </c>
    </row>
  </sheetData>
  <autoFilter ref="A1:O4" xr:uid="{00000000-0001-0000-0000-000000000000}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Survey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Sebastian Aristizabal</cp:lastModifiedBy>
  <cp:revision>1</cp:revision>
  <dcterms:created xsi:type="dcterms:W3CDTF">2025-10-13T14:58:30Z</dcterms:created>
  <dcterms:modified xsi:type="dcterms:W3CDTF">2025-10-15T13:39:48Z</dcterms:modified>
  <cp:category/>
</cp:coreProperties>
</file>