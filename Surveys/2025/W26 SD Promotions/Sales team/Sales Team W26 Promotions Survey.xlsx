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6 SD Promotions\Sales team\"/>
    </mc:Choice>
  </mc:AlternateContent>
  <xr:revisionPtr revIDLastSave="0" documentId="13_ncr:1_{16E15405-2BEB-4726-9534-4D1E5463C5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fference" sheetId="4" r:id="rId1"/>
    <sheet name="Invoiced" sheetId="3" r:id="rId2"/>
    <sheet name="Sent To Samsung" sheetId="2" r:id="rId3"/>
    <sheet name="Invoiced old" sheetId="5" r:id="rId4"/>
  </sheets>
  <definedNames>
    <definedName name="_xlnm._FilterDatabase" localSheetId="0" hidden="1">Difference!$A$1:$I$51</definedName>
    <definedName name="_xlnm._FilterDatabase" localSheetId="1" hidden="1">Invoiced!$A$1:$O$51</definedName>
    <definedName name="_xlnm._FilterDatabase" localSheetId="3" hidden="1">'Invoiced old'!$A$1:$O$51</definedName>
    <definedName name="_xlnm._FilterDatabase" localSheetId="2" hidden="1">'Sent To Samsung'!$A$1:$O$51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" i="4" l="1"/>
  <c r="H50" i="4"/>
  <c r="H49" i="4"/>
  <c r="H48" i="4"/>
  <c r="H47" i="4"/>
  <c r="H46" i="4"/>
  <c r="H45" i="4"/>
  <c r="H44" i="4"/>
  <c r="I44" i="4" s="1"/>
  <c r="H43" i="4"/>
  <c r="H42" i="4"/>
  <c r="I42" i="4" s="1"/>
  <c r="H41" i="4"/>
  <c r="H40" i="4"/>
  <c r="I40" i="4" s="1"/>
  <c r="H39" i="4"/>
  <c r="H38" i="4"/>
  <c r="H37" i="4"/>
  <c r="H36" i="4"/>
  <c r="H35" i="4"/>
  <c r="H34" i="4"/>
  <c r="H33" i="4"/>
  <c r="H32" i="4"/>
  <c r="I32" i="4" s="1"/>
  <c r="H31" i="4"/>
  <c r="H30" i="4"/>
  <c r="I30" i="4" s="1"/>
  <c r="H29" i="4"/>
  <c r="H28" i="4"/>
  <c r="H27" i="4"/>
  <c r="H26" i="4"/>
  <c r="H25" i="4"/>
  <c r="H24" i="4"/>
  <c r="H23" i="4"/>
  <c r="H22" i="4"/>
  <c r="H21" i="4"/>
  <c r="H20" i="4"/>
  <c r="H19" i="4"/>
  <c r="H18" i="4"/>
  <c r="I18" i="4" s="1"/>
  <c r="H17" i="4"/>
  <c r="I17" i="4" s="1"/>
  <c r="H16" i="4"/>
  <c r="H15" i="4"/>
  <c r="H14" i="4"/>
  <c r="H13" i="4"/>
  <c r="H12" i="4"/>
  <c r="H11" i="4"/>
  <c r="H10" i="4"/>
  <c r="H9" i="4"/>
  <c r="H8" i="4"/>
  <c r="H7" i="4"/>
  <c r="H6" i="4"/>
  <c r="I6" i="4" s="1"/>
  <c r="H5" i="4"/>
  <c r="H4" i="4"/>
  <c r="H3" i="4"/>
  <c r="H2" i="4"/>
  <c r="I15" i="4"/>
  <c r="I3" i="4"/>
  <c r="I2" i="4"/>
  <c r="L51" i="5"/>
  <c r="K51" i="5"/>
  <c r="M51" i="5" s="1"/>
  <c r="L50" i="5"/>
  <c r="K50" i="5"/>
  <c r="M50" i="5" s="1"/>
  <c r="L49" i="5"/>
  <c r="K49" i="5"/>
  <c r="M49" i="5" s="1"/>
  <c r="L48" i="5"/>
  <c r="K48" i="5"/>
  <c r="M48" i="5" s="1"/>
  <c r="M47" i="5"/>
  <c r="L47" i="5"/>
  <c r="K47" i="5"/>
  <c r="L46" i="5"/>
  <c r="K46" i="5"/>
  <c r="M46" i="5" s="1"/>
  <c r="M45" i="5"/>
  <c r="L45" i="5"/>
  <c r="K45" i="5"/>
  <c r="L44" i="5"/>
  <c r="K44" i="5"/>
  <c r="M44" i="5" s="1"/>
  <c r="M43" i="5"/>
  <c r="L43" i="5"/>
  <c r="K43" i="5"/>
  <c r="M42" i="5"/>
  <c r="L42" i="5"/>
  <c r="K42" i="5"/>
  <c r="M41" i="5"/>
  <c r="L41" i="5"/>
  <c r="K41" i="5"/>
  <c r="L40" i="5"/>
  <c r="K40" i="5"/>
  <c r="M40" i="5" s="1"/>
  <c r="M39" i="5"/>
  <c r="L39" i="5"/>
  <c r="K39" i="5"/>
  <c r="M38" i="5"/>
  <c r="L38" i="5"/>
  <c r="K38" i="5"/>
  <c r="M37" i="5"/>
  <c r="L37" i="5"/>
  <c r="K37" i="5"/>
  <c r="L36" i="5"/>
  <c r="K36" i="5"/>
  <c r="M36" i="5" s="1"/>
  <c r="M35" i="5"/>
  <c r="L35" i="5"/>
  <c r="K35" i="5"/>
  <c r="M34" i="5"/>
  <c r="L34" i="5"/>
  <c r="K34" i="5"/>
  <c r="M33" i="5"/>
  <c r="L33" i="5"/>
  <c r="K33" i="5"/>
  <c r="L32" i="5"/>
  <c r="K32" i="5"/>
  <c r="M32" i="5" s="1"/>
  <c r="M31" i="5"/>
  <c r="L31" i="5"/>
  <c r="K31" i="5"/>
  <c r="M30" i="5"/>
  <c r="L30" i="5"/>
  <c r="K30" i="5"/>
  <c r="M29" i="5"/>
  <c r="L29" i="5"/>
  <c r="K29" i="5"/>
  <c r="L28" i="5"/>
  <c r="K28" i="5"/>
  <c r="M28" i="5" s="1"/>
  <c r="M27" i="5"/>
  <c r="L27" i="5"/>
  <c r="K27" i="5"/>
  <c r="M26" i="5"/>
  <c r="L26" i="5"/>
  <c r="K26" i="5"/>
  <c r="M25" i="5"/>
  <c r="L25" i="5"/>
  <c r="K25" i="5"/>
  <c r="L24" i="5"/>
  <c r="K24" i="5"/>
  <c r="M24" i="5" s="1"/>
  <c r="M23" i="5"/>
  <c r="L23" i="5"/>
  <c r="K23" i="5"/>
  <c r="M22" i="5"/>
  <c r="L22" i="5"/>
  <c r="K22" i="5"/>
  <c r="M21" i="5"/>
  <c r="L21" i="5"/>
  <c r="K21" i="5"/>
  <c r="L20" i="5"/>
  <c r="K20" i="5"/>
  <c r="M20" i="5" s="1"/>
  <c r="M19" i="5"/>
  <c r="L19" i="5"/>
  <c r="K19" i="5"/>
  <c r="M18" i="5"/>
  <c r="L18" i="5"/>
  <c r="K18" i="5"/>
  <c r="M17" i="5"/>
  <c r="L17" i="5"/>
  <c r="K17" i="5"/>
  <c r="L16" i="5"/>
  <c r="K16" i="5"/>
  <c r="M16" i="5" s="1"/>
  <c r="M15" i="5"/>
  <c r="L15" i="5"/>
  <c r="K15" i="5"/>
  <c r="M14" i="5"/>
  <c r="L14" i="5"/>
  <c r="K14" i="5"/>
  <c r="M13" i="5"/>
  <c r="L13" i="5"/>
  <c r="K13" i="5"/>
  <c r="L12" i="5"/>
  <c r="K12" i="5"/>
  <c r="M12" i="5" s="1"/>
  <c r="M11" i="5"/>
  <c r="L11" i="5"/>
  <c r="K11" i="5"/>
  <c r="M10" i="5"/>
  <c r="L10" i="5"/>
  <c r="K10" i="5"/>
  <c r="M9" i="5"/>
  <c r="L9" i="5"/>
  <c r="K9" i="5"/>
  <c r="L8" i="5"/>
  <c r="K8" i="5"/>
  <c r="M8" i="5" s="1"/>
  <c r="M7" i="5"/>
  <c r="L7" i="5"/>
  <c r="K7" i="5"/>
  <c r="M6" i="5"/>
  <c r="L6" i="5"/>
  <c r="K6" i="5"/>
  <c r="M5" i="5"/>
  <c r="L5" i="5"/>
  <c r="K5" i="5"/>
  <c r="L4" i="5"/>
  <c r="K4" i="5"/>
  <c r="M4" i="5" s="1"/>
  <c r="M3" i="5"/>
  <c r="L3" i="5"/>
  <c r="K3" i="5"/>
  <c r="M2" i="5"/>
  <c r="L2" i="5"/>
  <c r="K2" i="5"/>
  <c r="I51" i="4"/>
  <c r="I39" i="4"/>
  <c r="I27" i="4"/>
  <c r="L51" i="3"/>
  <c r="K51" i="3"/>
  <c r="M51" i="3" s="1"/>
  <c r="L50" i="3"/>
  <c r="K50" i="3"/>
  <c r="M50" i="3" s="1"/>
  <c r="L49" i="3"/>
  <c r="K49" i="3"/>
  <c r="M49" i="3" s="1"/>
  <c r="L48" i="3"/>
  <c r="K48" i="3"/>
  <c r="M48" i="3" s="1"/>
  <c r="L47" i="3"/>
  <c r="K47" i="3"/>
  <c r="M47" i="3" s="1"/>
  <c r="L46" i="3"/>
  <c r="K46" i="3"/>
  <c r="M46" i="3" s="1"/>
  <c r="L45" i="3"/>
  <c r="K45" i="3"/>
  <c r="M45" i="3" s="1"/>
  <c r="L44" i="3"/>
  <c r="K44" i="3"/>
  <c r="M44" i="3" s="1"/>
  <c r="L43" i="3"/>
  <c r="K43" i="3"/>
  <c r="M43" i="3" s="1"/>
  <c r="L42" i="3"/>
  <c r="K42" i="3"/>
  <c r="M42" i="3" s="1"/>
  <c r="L41" i="3"/>
  <c r="K41" i="3"/>
  <c r="M41" i="3" s="1"/>
  <c r="L40" i="3"/>
  <c r="K40" i="3"/>
  <c r="M40" i="3" s="1"/>
  <c r="L39" i="3"/>
  <c r="K39" i="3"/>
  <c r="M39" i="3" s="1"/>
  <c r="L38" i="3"/>
  <c r="K38" i="3"/>
  <c r="M38" i="3" s="1"/>
  <c r="L37" i="3"/>
  <c r="K37" i="3"/>
  <c r="M37" i="3" s="1"/>
  <c r="L36" i="3"/>
  <c r="K36" i="3"/>
  <c r="M36" i="3" s="1"/>
  <c r="L35" i="3"/>
  <c r="K35" i="3"/>
  <c r="M35" i="3" s="1"/>
  <c r="L34" i="3"/>
  <c r="K34" i="3"/>
  <c r="M34" i="3" s="1"/>
  <c r="L33" i="3"/>
  <c r="K33" i="3"/>
  <c r="M33" i="3" s="1"/>
  <c r="L32" i="3"/>
  <c r="K32" i="3"/>
  <c r="M32" i="3" s="1"/>
  <c r="L31" i="3"/>
  <c r="K31" i="3"/>
  <c r="M31" i="3" s="1"/>
  <c r="L30" i="3"/>
  <c r="K30" i="3"/>
  <c r="M30" i="3" s="1"/>
  <c r="L29" i="3"/>
  <c r="K29" i="3"/>
  <c r="M29" i="3" s="1"/>
  <c r="L28" i="3"/>
  <c r="K28" i="3"/>
  <c r="M28" i="3" s="1"/>
  <c r="L27" i="3"/>
  <c r="K27" i="3"/>
  <c r="M27" i="3" s="1"/>
  <c r="L26" i="3"/>
  <c r="K26" i="3"/>
  <c r="M26" i="3" s="1"/>
  <c r="L25" i="3"/>
  <c r="K25" i="3"/>
  <c r="M25" i="3" s="1"/>
  <c r="L24" i="3"/>
  <c r="K24" i="3"/>
  <c r="M24" i="3" s="1"/>
  <c r="L23" i="3"/>
  <c r="K23" i="3"/>
  <c r="M23" i="3" s="1"/>
  <c r="L22" i="3"/>
  <c r="K22" i="3"/>
  <c r="M22" i="3" s="1"/>
  <c r="L21" i="3"/>
  <c r="K21" i="3"/>
  <c r="M21" i="3" s="1"/>
  <c r="L20" i="3"/>
  <c r="K20" i="3"/>
  <c r="M20" i="3" s="1"/>
  <c r="L19" i="3"/>
  <c r="K19" i="3"/>
  <c r="M19" i="3" s="1"/>
  <c r="L18" i="3"/>
  <c r="K18" i="3"/>
  <c r="M18" i="3" s="1"/>
  <c r="L17" i="3"/>
  <c r="K17" i="3"/>
  <c r="M17" i="3" s="1"/>
  <c r="L16" i="3"/>
  <c r="K16" i="3"/>
  <c r="M16" i="3" s="1"/>
  <c r="L15" i="3"/>
  <c r="K15" i="3"/>
  <c r="M15" i="3" s="1"/>
  <c r="L14" i="3"/>
  <c r="K14" i="3"/>
  <c r="M14" i="3" s="1"/>
  <c r="L13" i="3"/>
  <c r="K13" i="3"/>
  <c r="M13" i="3" s="1"/>
  <c r="L12" i="3"/>
  <c r="K12" i="3"/>
  <c r="M12" i="3" s="1"/>
  <c r="L11" i="3"/>
  <c r="K11" i="3"/>
  <c r="M11" i="3" s="1"/>
  <c r="L10" i="3"/>
  <c r="K10" i="3"/>
  <c r="M10" i="3" s="1"/>
  <c r="L9" i="3"/>
  <c r="K9" i="3"/>
  <c r="M9" i="3" s="1"/>
  <c r="L8" i="3"/>
  <c r="K8" i="3"/>
  <c r="M8" i="3" s="1"/>
  <c r="L7" i="3"/>
  <c r="K7" i="3"/>
  <c r="M7" i="3" s="1"/>
  <c r="L6" i="3"/>
  <c r="K6" i="3"/>
  <c r="M6" i="3" s="1"/>
  <c r="L5" i="3"/>
  <c r="K5" i="3"/>
  <c r="M5" i="3" s="1"/>
  <c r="L4" i="3"/>
  <c r="K4" i="3"/>
  <c r="M4" i="3" s="1"/>
  <c r="L3" i="3"/>
  <c r="K3" i="3"/>
  <c r="M3" i="3" s="1"/>
  <c r="M2" i="3"/>
  <c r="L2" i="3"/>
  <c r="K2" i="3"/>
  <c r="L51" i="2"/>
  <c r="K51" i="2"/>
  <c r="M51" i="2" s="1"/>
  <c r="L50" i="2"/>
  <c r="K50" i="2"/>
  <c r="M50" i="2" s="1"/>
  <c r="L49" i="2"/>
  <c r="K49" i="2"/>
  <c r="M49" i="2" s="1"/>
  <c r="L48" i="2"/>
  <c r="K48" i="2"/>
  <c r="M48" i="2" s="1"/>
  <c r="L47" i="2"/>
  <c r="K47" i="2"/>
  <c r="M47" i="2" s="1"/>
  <c r="L46" i="2"/>
  <c r="K46" i="2"/>
  <c r="M46" i="2" s="1"/>
  <c r="L45" i="2"/>
  <c r="K45" i="2"/>
  <c r="M45" i="2" s="1"/>
  <c r="L44" i="2"/>
  <c r="K44" i="2"/>
  <c r="M44" i="2" s="1"/>
  <c r="L43" i="2"/>
  <c r="K43" i="2"/>
  <c r="M43" i="2" s="1"/>
  <c r="L42" i="2"/>
  <c r="K42" i="2"/>
  <c r="M42" i="2" s="1"/>
  <c r="L41" i="2"/>
  <c r="K41" i="2"/>
  <c r="M41" i="2" s="1"/>
  <c r="L40" i="2"/>
  <c r="K40" i="2"/>
  <c r="M40" i="2" s="1"/>
  <c r="L39" i="2"/>
  <c r="K39" i="2"/>
  <c r="M39" i="2" s="1"/>
  <c r="L38" i="2"/>
  <c r="K38" i="2"/>
  <c r="M38" i="2" s="1"/>
  <c r="L37" i="2"/>
  <c r="K37" i="2"/>
  <c r="M37" i="2" s="1"/>
  <c r="L36" i="2"/>
  <c r="K36" i="2"/>
  <c r="M36" i="2" s="1"/>
  <c r="L35" i="2"/>
  <c r="K35" i="2"/>
  <c r="M35" i="2" s="1"/>
  <c r="L34" i="2"/>
  <c r="K34" i="2"/>
  <c r="M34" i="2" s="1"/>
  <c r="L33" i="2"/>
  <c r="K33" i="2"/>
  <c r="M33" i="2" s="1"/>
  <c r="L32" i="2"/>
  <c r="K32" i="2"/>
  <c r="M32" i="2" s="1"/>
  <c r="L31" i="2"/>
  <c r="K31" i="2"/>
  <c r="M31" i="2" s="1"/>
  <c r="L30" i="2"/>
  <c r="K30" i="2"/>
  <c r="M30" i="2" s="1"/>
  <c r="L29" i="2"/>
  <c r="K29" i="2"/>
  <c r="M29" i="2" s="1"/>
  <c r="L28" i="2"/>
  <c r="K28" i="2"/>
  <c r="M28" i="2" s="1"/>
  <c r="L27" i="2"/>
  <c r="K27" i="2"/>
  <c r="M27" i="2" s="1"/>
  <c r="L26" i="2"/>
  <c r="K26" i="2"/>
  <c r="M26" i="2" s="1"/>
  <c r="L25" i="2"/>
  <c r="K25" i="2"/>
  <c r="M25" i="2" s="1"/>
  <c r="L24" i="2"/>
  <c r="K24" i="2"/>
  <c r="M24" i="2" s="1"/>
  <c r="L23" i="2"/>
  <c r="K23" i="2"/>
  <c r="M23" i="2" s="1"/>
  <c r="L22" i="2"/>
  <c r="K22" i="2"/>
  <c r="M22" i="2" s="1"/>
  <c r="L21" i="2"/>
  <c r="K21" i="2"/>
  <c r="M21" i="2" s="1"/>
  <c r="L20" i="2"/>
  <c r="K20" i="2"/>
  <c r="M20" i="2" s="1"/>
  <c r="L19" i="2"/>
  <c r="K19" i="2"/>
  <c r="M19" i="2" s="1"/>
  <c r="L18" i="2"/>
  <c r="K18" i="2"/>
  <c r="M18" i="2" s="1"/>
  <c r="L17" i="2"/>
  <c r="K17" i="2"/>
  <c r="M17" i="2" s="1"/>
  <c r="L16" i="2"/>
  <c r="K16" i="2"/>
  <c r="M16" i="2" s="1"/>
  <c r="L15" i="2"/>
  <c r="K15" i="2"/>
  <c r="M15" i="2" s="1"/>
  <c r="L14" i="2"/>
  <c r="K14" i="2"/>
  <c r="M14" i="2" s="1"/>
  <c r="L13" i="2"/>
  <c r="K13" i="2"/>
  <c r="M13" i="2" s="1"/>
  <c r="L12" i="2"/>
  <c r="K12" i="2"/>
  <c r="M12" i="2" s="1"/>
  <c r="L11" i="2"/>
  <c r="K11" i="2"/>
  <c r="M11" i="2" s="1"/>
  <c r="L10" i="2"/>
  <c r="K10" i="2"/>
  <c r="M10" i="2" s="1"/>
  <c r="L9" i="2"/>
  <c r="K9" i="2"/>
  <c r="M9" i="2" s="1"/>
  <c r="L8" i="2"/>
  <c r="K8" i="2"/>
  <c r="M8" i="2" s="1"/>
  <c r="L7" i="2"/>
  <c r="K7" i="2"/>
  <c r="M7" i="2" s="1"/>
  <c r="L6" i="2"/>
  <c r="K6" i="2"/>
  <c r="M6" i="2" s="1"/>
  <c r="L5" i="2"/>
  <c r="K5" i="2"/>
  <c r="M5" i="2" s="1"/>
  <c r="L4" i="2"/>
  <c r="K4" i="2"/>
  <c r="M4" i="2" s="1"/>
  <c r="L3" i="2"/>
  <c r="K3" i="2"/>
  <c r="M3" i="2" s="1"/>
  <c r="L2" i="2"/>
  <c r="K2" i="2"/>
  <c r="M2" i="2" s="1"/>
  <c r="I20" i="4" l="1"/>
  <c r="I28" i="4"/>
  <c r="I16" i="4"/>
  <c r="I5" i="4"/>
  <c r="I19" i="4"/>
  <c r="I4" i="4"/>
  <c r="I7" i="4"/>
  <c r="I29" i="4"/>
  <c r="I43" i="4"/>
  <c r="I41" i="4"/>
  <c r="I35" i="4"/>
  <c r="I24" i="4"/>
  <c r="I36" i="4"/>
  <c r="I47" i="4"/>
  <c r="I12" i="4"/>
  <c r="I8" i="4"/>
  <c r="I23" i="4"/>
  <c r="I31" i="4"/>
  <c r="I48" i="4"/>
  <c r="I13" i="4"/>
  <c r="I25" i="4"/>
  <c r="I37" i="4"/>
  <c r="I49" i="4"/>
  <c r="I11" i="4"/>
  <c r="I14" i="4"/>
  <c r="I26" i="4"/>
  <c r="I38" i="4"/>
  <c r="I50" i="4"/>
  <c r="I9" i="4"/>
  <c r="I21" i="4"/>
  <c r="I33" i="4"/>
  <c r="I45" i="4"/>
  <c r="I10" i="4"/>
  <c r="I22" i="4"/>
  <c r="I34" i="4"/>
  <c r="I46" i="4"/>
</calcChain>
</file>

<file path=xl/sharedStrings.xml><?xml version="1.0" encoding="utf-8"?>
<sst xmlns="http://schemas.openxmlformats.org/spreadsheetml/2006/main" count="1154" uniqueCount="83">
  <si>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</si>
  <si>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</si>
  <si>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</si>
  <si>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</si>
  <si>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</si>
  <si>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</si>
  <si>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</si>
  <si>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</si>
  <si>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G-S24-ULTRA</t>
  </si>
  <si>
    <t>G-S25</t>
  </si>
  <si>
    <t>G-S25-ULTRA</t>
  </si>
  <si>
    <t>VITEL MOBILE, INC.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</si>
  <si>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</si>
  <si>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</si>
  <si>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</si>
  <si>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</si>
  <si>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</si>
  <si>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</si>
  <si>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</si>
  <si>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</si>
  <si>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</si>
  <si>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</si>
  <si>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</si>
  <si>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</si>
  <si>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</si>
  <si>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</si>
  <si>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</si>
  <si>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</si>
  <si>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</si>
  <si>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</si>
  <si>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</si>
  <si>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</si>
  <si>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G-A06</t>
  </si>
  <si>
    <t>G-S24</t>
  </si>
  <si>
    <t>G-S24+</t>
  </si>
  <si>
    <t>SM-M556BLGMTPA</t>
  </si>
  <si>
    <t>MOBILE,SM-M556B/DS,LIGHT GREEN,TPA</t>
  </si>
  <si>
    <t>SM-M556BZKMTPA</t>
  </si>
  <si>
    <t>MOBILE,SM-M556B/DS,BLACK,TPA</t>
  </si>
  <si>
    <t>G-A16</t>
  </si>
  <si>
    <t>G-A16-5G</t>
  </si>
  <si>
    <t>G-A26-5G</t>
  </si>
  <si>
    <t>G-A36-5G</t>
  </si>
  <si>
    <t>G-A56-5G</t>
  </si>
  <si>
    <t>G-S25+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</si>
  <si>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</si>
  <si>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</si>
  <si>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</si>
  <si>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</si>
  <si>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</si>
  <si>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</si>
  <si>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</si>
  <si>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</si>
  <si>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SM-X520NZSETPA</t>
  </si>
  <si>
    <t>G-WATCH-ULTRA</t>
  </si>
  <si>
    <t>G-TAB-A9</t>
  </si>
  <si>
    <t>G-TAB-A9+</t>
  </si>
  <si>
    <t>SM-X520NLBETPA</t>
  </si>
  <si>
    <t>SM-X520NZAETPA</t>
  </si>
  <si>
    <t>SM-X620NLBETPA</t>
  </si>
  <si>
    <t>SM-X620NZAETPA</t>
  </si>
  <si>
    <t>SM-X620NZSETPA</t>
  </si>
  <si>
    <t>A2S3A0A250000225</t>
  </si>
  <si>
    <t>A0S3A0A250000641</t>
  </si>
  <si>
    <t>VITEL W24-W26 ECO ST Promo</t>
  </si>
  <si>
    <t>A2S3A0A250000227</t>
  </si>
  <si>
    <t>A0S3A0A250000649</t>
  </si>
  <si>
    <t>VITEL W24-W26 A9 Series Promotion</t>
  </si>
  <si>
    <t>A2S3A0A250000241</t>
  </si>
  <si>
    <t>A0S3A0A250000679</t>
  </si>
  <si>
    <t>VITEL W26 NRM Sell-Thru Promotion</t>
  </si>
  <si>
    <t>A2S3A0A250000242</t>
  </si>
  <si>
    <t>A0S3A0A250000682</t>
  </si>
  <si>
    <t>VITEL W26 MX Sell-Thru Promotion</t>
  </si>
  <si>
    <t>AS-IS Amt($)</t>
  </si>
  <si>
    <t>AS-IS Qty</t>
  </si>
  <si>
    <t>Incentive</t>
  </si>
  <si>
    <t>TO-BE Qty</t>
  </si>
  <si>
    <t>TO-BE Amt($)</t>
  </si>
  <si>
    <t>DELTA Qty</t>
  </si>
  <si>
    <t>DELTA Amt($)</t>
  </si>
  <si>
    <t>Difference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</si>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</sst>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FB780-57D3-4F6A-88DD-530FFFCFC40C}">
  <dimension ref="A1:I51"/>
  <sheetViews>
    <sheetView showGridLines="0" tabSelected="1" topLeftCell="B1" zoomScale="85" zoomScaleNormal="85" workbookViewId="0">
      <pane ySplit="1" topLeftCell="A2" activePane="bottomLeft" state="frozen"/>
      <selection pane="bottomLeft" activeCell="I2" sqref="I2:I51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16.140625" bestFit="1" customWidth="1"/>
    <col min="4" max="4" width="33" bestFit="1" customWidth="1"/>
    <col min="5" max="9" width="14.28515625" customWidth="1"/>
  </cols>
  <sheetData>
    <row r="1" spans="1:9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76</v>
      </c>
      <c r="F1" s="1" t="s">
        <v>75</v>
      </c>
      <c r="G1" s="1" t="s">
        <v>74</v>
      </c>
      <c r="H1" s="1" t="s">
        <v>81</v>
      </c>
      <c r="I1" s="1" t="s">
        <v>82</v>
      </c>
    </row>
    <row r="2" spans="1:9" x14ac:dyDescent="0.2">
      <c r="A2" s="2" t="s">
        <v>63</v>
      </c>
      <c r="B2" s="2" t="s">
        <v>64</v>
      </c>
      <c r="C2" s="2" t="s">
        <v>54</v>
      </c>
      <c r="D2" s="2" t="s">
        <v>54</v>
      </c>
      <c r="E2" s="5">
        <v>30</v>
      </c>
      <c r="F2" s="6">
        <v>161</v>
      </c>
      <c r="G2" s="5">
        <v>4830</v>
      </c>
      <c r="H2" s="7">
        <f>('Sent To Samsung'!J2-Invoiced!J2)</f>
        <v>46</v>
      </c>
      <c r="I2" s="4">
        <f>H2*E2</f>
        <v>1380</v>
      </c>
    </row>
    <row r="3" spans="1:9" x14ac:dyDescent="0.2">
      <c r="A3" s="2" t="s">
        <v>63</v>
      </c>
      <c r="B3" s="2" t="s">
        <v>64</v>
      </c>
      <c r="C3" s="2" t="s">
        <v>12</v>
      </c>
      <c r="D3" s="2" t="s">
        <v>13</v>
      </c>
      <c r="E3" s="5">
        <v>30</v>
      </c>
      <c r="F3" s="6">
        <v>385</v>
      </c>
      <c r="G3" s="5">
        <v>11550</v>
      </c>
      <c r="H3" s="7">
        <f>('Sent To Samsung'!J3-Invoiced!J3)</f>
        <v>231</v>
      </c>
      <c r="I3" s="4">
        <f t="shared" ref="I3:I51" si="0">H3*E3</f>
        <v>6930</v>
      </c>
    </row>
    <row r="4" spans="1:9" x14ac:dyDescent="0.2">
      <c r="A4" s="2" t="s">
        <v>63</v>
      </c>
      <c r="B4" s="2" t="s">
        <v>64</v>
      </c>
      <c r="C4" s="2" t="s">
        <v>57</v>
      </c>
      <c r="D4" s="2" t="s">
        <v>13</v>
      </c>
      <c r="E4" s="5">
        <v>30</v>
      </c>
      <c r="F4" s="6">
        <v>3</v>
      </c>
      <c r="G4" s="5">
        <v>90</v>
      </c>
      <c r="H4" s="7">
        <f>('Sent To Samsung'!J4-Invoiced!J4)</f>
        <v>3</v>
      </c>
      <c r="I4" s="4">
        <f t="shared" si="0"/>
        <v>90</v>
      </c>
    </row>
    <row r="5" spans="1:9" x14ac:dyDescent="0.2">
      <c r="A5" s="2" t="s">
        <v>63</v>
      </c>
      <c r="B5" s="2" t="s">
        <v>64</v>
      </c>
      <c r="C5" s="2" t="s">
        <v>14</v>
      </c>
      <c r="D5" s="2" t="s">
        <v>15</v>
      </c>
      <c r="E5" s="5">
        <v>30</v>
      </c>
      <c r="F5" s="6">
        <v>348</v>
      </c>
      <c r="G5" s="5">
        <v>10440</v>
      </c>
      <c r="H5" s="7">
        <f>('Sent To Samsung'!J5-Invoiced!J5)</f>
        <v>105</v>
      </c>
      <c r="I5" s="4">
        <f t="shared" si="0"/>
        <v>3150</v>
      </c>
    </row>
    <row r="6" spans="1:9" x14ac:dyDescent="0.2">
      <c r="A6" s="2" t="s">
        <v>63</v>
      </c>
      <c r="B6" s="2" t="s">
        <v>64</v>
      </c>
      <c r="C6" s="2" t="s">
        <v>58</v>
      </c>
      <c r="D6" s="2" t="s">
        <v>15</v>
      </c>
      <c r="E6" s="5">
        <v>30</v>
      </c>
      <c r="F6" s="6">
        <v>3</v>
      </c>
      <c r="G6" s="5">
        <v>90</v>
      </c>
      <c r="H6" s="7">
        <f>('Sent To Samsung'!J6-Invoiced!J6)</f>
        <v>3</v>
      </c>
      <c r="I6" s="4">
        <f t="shared" si="0"/>
        <v>90</v>
      </c>
    </row>
    <row r="7" spans="1:9" x14ac:dyDescent="0.2">
      <c r="A7" s="2" t="s">
        <v>63</v>
      </c>
      <c r="B7" s="2" t="s">
        <v>64</v>
      </c>
      <c r="C7" s="2" t="s">
        <v>16</v>
      </c>
      <c r="D7" s="2" t="s">
        <v>17</v>
      </c>
      <c r="E7" s="5">
        <v>30</v>
      </c>
      <c r="F7" s="6">
        <v>347</v>
      </c>
      <c r="G7" s="5">
        <v>10410</v>
      </c>
      <c r="H7" s="7">
        <f>('Sent To Samsung'!J7-Invoiced!J7)</f>
        <v>230</v>
      </c>
      <c r="I7" s="4">
        <f t="shared" si="0"/>
        <v>6900</v>
      </c>
    </row>
    <row r="8" spans="1:9" x14ac:dyDescent="0.2">
      <c r="A8" s="2" t="s">
        <v>63</v>
      </c>
      <c r="B8" s="2" t="s">
        <v>64</v>
      </c>
      <c r="C8" s="2" t="s">
        <v>53</v>
      </c>
      <c r="D8" s="2" t="s">
        <v>17</v>
      </c>
      <c r="E8" s="5">
        <v>30</v>
      </c>
      <c r="F8" s="6">
        <v>3</v>
      </c>
      <c r="G8" s="5">
        <v>90</v>
      </c>
      <c r="H8" s="7">
        <f>('Sent To Samsung'!J8-Invoiced!J8)</f>
        <v>3</v>
      </c>
      <c r="I8" s="4">
        <f t="shared" si="0"/>
        <v>90</v>
      </c>
    </row>
    <row r="9" spans="1:9" x14ac:dyDescent="0.2">
      <c r="A9" s="2" t="s">
        <v>63</v>
      </c>
      <c r="B9" s="2" t="s">
        <v>64</v>
      </c>
      <c r="C9" s="2" t="s">
        <v>18</v>
      </c>
      <c r="D9" s="2" t="s">
        <v>19</v>
      </c>
      <c r="E9" s="5">
        <v>30</v>
      </c>
      <c r="F9" s="6">
        <v>135</v>
      </c>
      <c r="G9" s="5">
        <v>4050</v>
      </c>
      <c r="H9" s="7">
        <f>('Sent To Samsung'!J9-Invoiced!J9)</f>
        <v>110</v>
      </c>
      <c r="I9" s="4">
        <f t="shared" si="0"/>
        <v>3300</v>
      </c>
    </row>
    <row r="10" spans="1:9" x14ac:dyDescent="0.2">
      <c r="A10" s="2" t="s">
        <v>63</v>
      </c>
      <c r="B10" s="2" t="s">
        <v>64</v>
      </c>
      <c r="C10" s="2" t="s">
        <v>20</v>
      </c>
      <c r="D10" s="2" t="s">
        <v>21</v>
      </c>
      <c r="E10" s="5">
        <v>30</v>
      </c>
      <c r="F10" s="6">
        <v>128</v>
      </c>
      <c r="G10" s="5">
        <v>3840</v>
      </c>
      <c r="H10" s="7">
        <f>('Sent To Samsung'!J10-Invoiced!J10)</f>
        <v>97</v>
      </c>
      <c r="I10" s="4">
        <f t="shared" si="0"/>
        <v>2910</v>
      </c>
    </row>
    <row r="11" spans="1:9" x14ac:dyDescent="0.2">
      <c r="A11" s="2" t="s">
        <v>63</v>
      </c>
      <c r="B11" s="2" t="s">
        <v>64</v>
      </c>
      <c r="C11" s="2" t="s">
        <v>22</v>
      </c>
      <c r="D11" s="2" t="s">
        <v>23</v>
      </c>
      <c r="E11" s="5">
        <v>30</v>
      </c>
      <c r="F11" s="6">
        <v>174</v>
      </c>
      <c r="G11" s="5">
        <v>5220</v>
      </c>
      <c r="H11" s="7">
        <f>('Sent To Samsung'!J11-Invoiced!J11)</f>
        <v>158</v>
      </c>
      <c r="I11" s="4">
        <f t="shared" si="0"/>
        <v>4740</v>
      </c>
    </row>
    <row r="12" spans="1:9" x14ac:dyDescent="0.2">
      <c r="A12" s="2" t="s">
        <v>63</v>
      </c>
      <c r="B12" s="2" t="s">
        <v>64</v>
      </c>
      <c r="C12" s="2" t="s">
        <v>24</v>
      </c>
      <c r="D12" s="2" t="s">
        <v>25</v>
      </c>
      <c r="E12" s="5">
        <v>30</v>
      </c>
      <c r="F12" s="6">
        <v>162</v>
      </c>
      <c r="G12" s="5">
        <v>4860</v>
      </c>
      <c r="H12" s="7">
        <f>('Sent To Samsung'!J12-Invoiced!J12)</f>
        <v>145</v>
      </c>
      <c r="I12" s="4">
        <f t="shared" si="0"/>
        <v>4350</v>
      </c>
    </row>
    <row r="13" spans="1:9" x14ac:dyDescent="0.2">
      <c r="A13" s="2" t="s">
        <v>63</v>
      </c>
      <c r="B13" s="2" t="s">
        <v>64</v>
      </c>
      <c r="C13" s="2" t="s">
        <v>59</v>
      </c>
      <c r="D13" s="2" t="s">
        <v>25</v>
      </c>
      <c r="E13" s="5">
        <v>30</v>
      </c>
      <c r="F13" s="6">
        <v>3</v>
      </c>
      <c r="G13" s="5">
        <v>90</v>
      </c>
      <c r="H13" s="7">
        <f>('Sent To Samsung'!J13-Invoiced!J13)</f>
        <v>3</v>
      </c>
      <c r="I13" s="4">
        <f t="shared" si="0"/>
        <v>90</v>
      </c>
    </row>
    <row r="14" spans="1:9" x14ac:dyDescent="0.2">
      <c r="A14" s="2" t="s">
        <v>63</v>
      </c>
      <c r="B14" s="2" t="s">
        <v>64</v>
      </c>
      <c r="C14" s="2" t="s">
        <v>26</v>
      </c>
      <c r="D14" s="2" t="s">
        <v>27</v>
      </c>
      <c r="E14" s="5">
        <v>30</v>
      </c>
      <c r="F14" s="6">
        <v>203</v>
      </c>
      <c r="G14" s="5">
        <v>6090</v>
      </c>
      <c r="H14" s="7">
        <f>('Sent To Samsung'!J14-Invoiced!J14)</f>
        <v>159</v>
      </c>
      <c r="I14" s="4">
        <f t="shared" si="0"/>
        <v>4770</v>
      </c>
    </row>
    <row r="15" spans="1:9" x14ac:dyDescent="0.2">
      <c r="A15" s="2" t="s">
        <v>63</v>
      </c>
      <c r="B15" s="2" t="s">
        <v>64</v>
      </c>
      <c r="C15" s="2" t="s">
        <v>60</v>
      </c>
      <c r="D15" s="2" t="s">
        <v>27</v>
      </c>
      <c r="E15" s="5">
        <v>30</v>
      </c>
      <c r="F15" s="6">
        <v>3</v>
      </c>
      <c r="G15" s="5">
        <v>90</v>
      </c>
      <c r="H15" s="7">
        <f>('Sent To Samsung'!J15-Invoiced!J15)</f>
        <v>3</v>
      </c>
      <c r="I15" s="4">
        <f t="shared" si="0"/>
        <v>90</v>
      </c>
    </row>
    <row r="16" spans="1:9" x14ac:dyDescent="0.2">
      <c r="A16" s="2" t="s">
        <v>63</v>
      </c>
      <c r="B16" s="2" t="s">
        <v>64</v>
      </c>
      <c r="C16" s="2" t="s">
        <v>28</v>
      </c>
      <c r="D16" s="2" t="s">
        <v>29</v>
      </c>
      <c r="E16" s="5">
        <v>30</v>
      </c>
      <c r="F16" s="6">
        <v>201</v>
      </c>
      <c r="G16" s="5">
        <v>6030</v>
      </c>
      <c r="H16" s="7">
        <f>('Sent To Samsung'!J16-Invoiced!J16)</f>
        <v>180</v>
      </c>
      <c r="I16" s="4">
        <f t="shared" si="0"/>
        <v>5400</v>
      </c>
    </row>
    <row r="17" spans="1:9" x14ac:dyDescent="0.2">
      <c r="A17" s="2" t="s">
        <v>63</v>
      </c>
      <c r="B17" s="2" t="s">
        <v>64</v>
      </c>
      <c r="C17" s="2" t="s">
        <v>61</v>
      </c>
      <c r="D17" s="2" t="s">
        <v>29</v>
      </c>
      <c r="E17" s="5">
        <v>30</v>
      </c>
      <c r="F17" s="6">
        <v>3</v>
      </c>
      <c r="G17" s="5">
        <v>90</v>
      </c>
      <c r="H17" s="7">
        <f>('Sent To Samsung'!J17-Invoiced!J17)</f>
        <v>3</v>
      </c>
      <c r="I17" s="4">
        <f t="shared" si="0"/>
        <v>90</v>
      </c>
    </row>
    <row r="18" spans="1:9" x14ac:dyDescent="0.2">
      <c r="A18" s="2" t="s">
        <v>63</v>
      </c>
      <c r="B18" s="2" t="s">
        <v>64</v>
      </c>
      <c r="C18" s="2" t="s">
        <v>30</v>
      </c>
      <c r="D18" s="2" t="s">
        <v>31</v>
      </c>
      <c r="E18" s="5">
        <v>30</v>
      </c>
      <c r="F18" s="6">
        <v>93</v>
      </c>
      <c r="G18" s="5">
        <v>2790</v>
      </c>
      <c r="H18" s="7">
        <f>('Sent To Samsung'!J18-Invoiced!J18)</f>
        <v>54</v>
      </c>
      <c r="I18" s="4">
        <f t="shared" si="0"/>
        <v>1620</v>
      </c>
    </row>
    <row r="19" spans="1:9" x14ac:dyDescent="0.2">
      <c r="A19" s="2" t="s">
        <v>63</v>
      </c>
      <c r="B19" s="2" t="s">
        <v>64</v>
      </c>
      <c r="C19" s="2" t="s">
        <v>45</v>
      </c>
      <c r="D19" s="2" t="s">
        <v>46</v>
      </c>
      <c r="E19" s="5">
        <v>30</v>
      </c>
      <c r="F19" s="6">
        <v>116</v>
      </c>
      <c r="G19" s="5">
        <v>3480</v>
      </c>
      <c r="H19" s="7">
        <f>('Sent To Samsung'!J19-Invoiced!J19)</f>
        <v>96</v>
      </c>
      <c r="I19" s="4">
        <f t="shared" si="0"/>
        <v>2880</v>
      </c>
    </row>
    <row r="20" spans="1:9" x14ac:dyDescent="0.2">
      <c r="A20" s="2" t="s">
        <v>63</v>
      </c>
      <c r="B20" s="2" t="s">
        <v>64</v>
      </c>
      <c r="C20" s="2" t="s">
        <v>47</v>
      </c>
      <c r="D20" s="2" t="s">
        <v>48</v>
      </c>
      <c r="E20" s="5">
        <v>30</v>
      </c>
      <c r="F20" s="6">
        <v>185</v>
      </c>
      <c r="G20" s="5">
        <v>5550</v>
      </c>
      <c r="H20" s="7">
        <f>('Sent To Samsung'!J20-Invoiced!J20)</f>
        <v>164</v>
      </c>
      <c r="I20" s="4">
        <f t="shared" si="0"/>
        <v>4920</v>
      </c>
    </row>
    <row r="21" spans="1:9" x14ac:dyDescent="0.2">
      <c r="A21" s="2" t="s">
        <v>63</v>
      </c>
      <c r="B21" s="2" t="s">
        <v>64</v>
      </c>
      <c r="C21" s="2" t="s">
        <v>49</v>
      </c>
      <c r="D21" s="2" t="s">
        <v>50</v>
      </c>
      <c r="E21" s="5">
        <v>30</v>
      </c>
      <c r="F21" s="6">
        <v>131</v>
      </c>
      <c r="G21" s="5">
        <v>3930</v>
      </c>
      <c r="H21" s="7">
        <f>('Sent To Samsung'!J21-Invoiced!J21)</f>
        <v>94</v>
      </c>
      <c r="I21" s="4">
        <f t="shared" si="0"/>
        <v>2820</v>
      </c>
    </row>
    <row r="22" spans="1:9" x14ac:dyDescent="0.2">
      <c r="A22" s="2" t="s">
        <v>63</v>
      </c>
      <c r="B22" s="2" t="s">
        <v>64</v>
      </c>
      <c r="C22" s="2" t="s">
        <v>51</v>
      </c>
      <c r="D22" s="2" t="s">
        <v>52</v>
      </c>
      <c r="E22" s="5">
        <v>30</v>
      </c>
      <c r="F22" s="6">
        <v>135</v>
      </c>
      <c r="G22" s="5">
        <v>4050</v>
      </c>
      <c r="H22" s="7">
        <f>('Sent To Samsung'!J22-Invoiced!J22)</f>
        <v>107</v>
      </c>
      <c r="I22" s="4">
        <f t="shared" si="0"/>
        <v>3210</v>
      </c>
    </row>
    <row r="23" spans="1:9" x14ac:dyDescent="0.2">
      <c r="A23" s="2" t="s">
        <v>66</v>
      </c>
      <c r="B23" s="2" t="s">
        <v>67</v>
      </c>
      <c r="C23" s="2" t="s">
        <v>55</v>
      </c>
      <c r="D23" s="2" t="s">
        <v>55</v>
      </c>
      <c r="E23" s="5">
        <v>15</v>
      </c>
      <c r="F23" s="6">
        <v>5</v>
      </c>
      <c r="G23" s="5">
        <v>75</v>
      </c>
      <c r="H23" s="7">
        <f>('Sent To Samsung'!J23-Invoiced!J23)</f>
        <v>-545</v>
      </c>
      <c r="I23" s="4">
        <f t="shared" si="0"/>
        <v>-8175</v>
      </c>
    </row>
    <row r="24" spans="1:9" x14ac:dyDescent="0.2">
      <c r="A24" s="2" t="s">
        <v>66</v>
      </c>
      <c r="B24" s="2" t="s">
        <v>67</v>
      </c>
      <c r="C24" s="2" t="s">
        <v>56</v>
      </c>
      <c r="D24" s="2" t="s">
        <v>56</v>
      </c>
      <c r="E24" s="5">
        <v>15</v>
      </c>
      <c r="F24" s="6">
        <v>5</v>
      </c>
      <c r="G24" s="5">
        <v>75</v>
      </c>
      <c r="H24" s="7">
        <f>('Sent To Samsung'!J24-Invoiced!J24)</f>
        <v>-425</v>
      </c>
      <c r="I24" s="4">
        <f t="shared" si="0"/>
        <v>-6375</v>
      </c>
    </row>
    <row r="25" spans="1:9" x14ac:dyDescent="0.2">
      <c r="A25" s="2" t="s">
        <v>69</v>
      </c>
      <c r="B25" s="2" t="s">
        <v>70</v>
      </c>
      <c r="C25" s="2" t="s">
        <v>39</v>
      </c>
      <c r="D25" s="2" t="s">
        <v>39</v>
      </c>
      <c r="E25" s="5">
        <v>10</v>
      </c>
      <c r="F25" s="6">
        <v>1120</v>
      </c>
      <c r="G25" s="5">
        <v>11200</v>
      </c>
      <c r="H25" s="7">
        <f>('Sent To Samsung'!J25-Invoiced!J25)</f>
        <v>-1979</v>
      </c>
      <c r="I25" s="4">
        <f t="shared" si="0"/>
        <v>-19790</v>
      </c>
    </row>
    <row r="26" spans="1:9" x14ac:dyDescent="0.2">
      <c r="A26" s="2" t="s">
        <v>69</v>
      </c>
      <c r="B26" s="2" t="s">
        <v>70</v>
      </c>
      <c r="C26" s="2" t="s">
        <v>40</v>
      </c>
      <c r="D26" s="2" t="s">
        <v>40</v>
      </c>
      <c r="E26" s="5">
        <v>5</v>
      </c>
      <c r="F26" s="6">
        <v>280</v>
      </c>
      <c r="G26" s="5">
        <v>1400</v>
      </c>
      <c r="H26" s="7">
        <f>('Sent To Samsung'!J26-Invoiced!J26)</f>
        <v>-28</v>
      </c>
      <c r="I26" s="4">
        <f t="shared" si="0"/>
        <v>-140</v>
      </c>
    </row>
    <row r="27" spans="1:9" x14ac:dyDescent="0.2">
      <c r="A27" s="2" t="s">
        <v>69</v>
      </c>
      <c r="B27" s="2" t="s">
        <v>70</v>
      </c>
      <c r="C27" s="2" t="s">
        <v>41</v>
      </c>
      <c r="D27" s="2" t="s">
        <v>41</v>
      </c>
      <c r="E27" s="5">
        <v>20</v>
      </c>
      <c r="F27" s="6">
        <v>630</v>
      </c>
      <c r="G27" s="5">
        <v>12600</v>
      </c>
      <c r="H27" s="7">
        <f>('Sent To Samsung'!J27-Invoiced!J27)</f>
        <v>-89</v>
      </c>
      <c r="I27" s="4">
        <f t="shared" si="0"/>
        <v>-1780</v>
      </c>
    </row>
    <row r="28" spans="1:9" x14ac:dyDescent="0.2">
      <c r="A28" s="2" t="s">
        <v>69</v>
      </c>
      <c r="B28" s="2" t="s">
        <v>70</v>
      </c>
      <c r="C28" s="2" t="s">
        <v>42</v>
      </c>
      <c r="D28" s="2" t="s">
        <v>42</v>
      </c>
      <c r="E28" s="5">
        <v>10</v>
      </c>
      <c r="F28" s="6">
        <v>420</v>
      </c>
      <c r="G28" s="5">
        <v>4200</v>
      </c>
      <c r="H28" s="7">
        <f>('Sent To Samsung'!J28-Invoiced!J28)</f>
        <v>-40</v>
      </c>
      <c r="I28" s="4">
        <f t="shared" si="0"/>
        <v>-400</v>
      </c>
    </row>
    <row r="29" spans="1:9" x14ac:dyDescent="0.2">
      <c r="A29" s="2" t="s">
        <v>69</v>
      </c>
      <c r="B29" s="2" t="s">
        <v>70</v>
      </c>
      <c r="C29" s="2" t="s">
        <v>43</v>
      </c>
      <c r="D29" s="2" t="s">
        <v>43</v>
      </c>
      <c r="E29" s="5">
        <v>10</v>
      </c>
      <c r="F29" s="6">
        <v>700</v>
      </c>
      <c r="G29" s="5">
        <v>7000</v>
      </c>
      <c r="H29" s="7">
        <f>('Sent To Samsung'!J29-Invoiced!J29)</f>
        <v>-256</v>
      </c>
      <c r="I29" s="4">
        <f t="shared" si="0"/>
        <v>-2560</v>
      </c>
    </row>
    <row r="30" spans="1:9" x14ac:dyDescent="0.2">
      <c r="A30" s="2" t="s">
        <v>69</v>
      </c>
      <c r="B30" s="2" t="s">
        <v>70</v>
      </c>
      <c r="C30" s="2" t="s">
        <v>33</v>
      </c>
      <c r="D30" s="2" t="s">
        <v>33</v>
      </c>
      <c r="E30" s="5">
        <v>10</v>
      </c>
      <c r="F30" s="6">
        <v>7</v>
      </c>
      <c r="G30" s="5">
        <v>70</v>
      </c>
      <c r="H30" s="7">
        <f>('Sent To Samsung'!J30-Invoiced!J30)</f>
        <v>0</v>
      </c>
      <c r="I30" s="4">
        <f t="shared" si="0"/>
        <v>0</v>
      </c>
    </row>
    <row r="31" spans="1:9" x14ac:dyDescent="0.2">
      <c r="A31" s="2" t="s">
        <v>69</v>
      </c>
      <c r="B31" s="2" t="s">
        <v>70</v>
      </c>
      <c r="C31" s="2" t="s">
        <v>34</v>
      </c>
      <c r="D31" s="2" t="s">
        <v>34</v>
      </c>
      <c r="E31" s="5">
        <v>10</v>
      </c>
      <c r="F31" s="6">
        <v>7</v>
      </c>
      <c r="G31" s="5">
        <v>70</v>
      </c>
      <c r="H31" s="7">
        <f>('Sent To Samsung'!J31-Invoiced!J31)</f>
        <v>0</v>
      </c>
      <c r="I31" s="4">
        <f t="shared" si="0"/>
        <v>0</v>
      </c>
    </row>
    <row r="32" spans="1:9" x14ac:dyDescent="0.2">
      <c r="A32" s="2" t="s">
        <v>69</v>
      </c>
      <c r="B32" s="2" t="s">
        <v>70</v>
      </c>
      <c r="C32" s="2" t="s">
        <v>8</v>
      </c>
      <c r="D32" s="2" t="s">
        <v>8</v>
      </c>
      <c r="E32" s="5">
        <v>30</v>
      </c>
      <c r="F32" s="6">
        <v>105</v>
      </c>
      <c r="G32" s="5">
        <v>3150</v>
      </c>
      <c r="H32" s="7">
        <f>('Sent To Samsung'!J32-Invoiced!J32)</f>
        <v>0</v>
      </c>
      <c r="I32" s="4">
        <f t="shared" si="0"/>
        <v>0</v>
      </c>
    </row>
    <row r="33" spans="1:9" x14ac:dyDescent="0.2">
      <c r="A33" s="2" t="s">
        <v>69</v>
      </c>
      <c r="B33" s="2" t="s">
        <v>70</v>
      </c>
      <c r="C33" s="2" t="s">
        <v>9</v>
      </c>
      <c r="D33" s="2" t="s">
        <v>9</v>
      </c>
      <c r="E33" s="5">
        <v>30</v>
      </c>
      <c r="F33" s="6">
        <v>42</v>
      </c>
      <c r="G33" s="5">
        <v>1260</v>
      </c>
      <c r="H33" s="7">
        <f>('Sent To Samsung'!J33-Invoiced!J33)</f>
        <v>0</v>
      </c>
      <c r="I33" s="4">
        <f t="shared" si="0"/>
        <v>0</v>
      </c>
    </row>
    <row r="34" spans="1:9" x14ac:dyDescent="0.2">
      <c r="A34" s="2" t="s">
        <v>69</v>
      </c>
      <c r="B34" s="2" t="s">
        <v>70</v>
      </c>
      <c r="C34" s="2" t="s">
        <v>44</v>
      </c>
      <c r="D34" s="2" t="s">
        <v>44</v>
      </c>
      <c r="E34" s="5">
        <v>30</v>
      </c>
      <c r="F34" s="6">
        <v>42</v>
      </c>
      <c r="G34" s="5">
        <v>1260</v>
      </c>
      <c r="H34" s="7">
        <f>('Sent To Samsung'!J34-Invoiced!J34)</f>
        <v>-164</v>
      </c>
      <c r="I34" s="4">
        <f t="shared" si="0"/>
        <v>-4920</v>
      </c>
    </row>
    <row r="35" spans="1:9" x14ac:dyDescent="0.2">
      <c r="A35" s="2" t="s">
        <v>69</v>
      </c>
      <c r="B35" s="2" t="s">
        <v>70</v>
      </c>
      <c r="C35" s="2" t="s">
        <v>10</v>
      </c>
      <c r="D35" s="2" t="s">
        <v>10</v>
      </c>
      <c r="E35" s="5">
        <v>30</v>
      </c>
      <c r="F35" s="6">
        <v>140</v>
      </c>
      <c r="G35" s="5">
        <v>4200</v>
      </c>
      <c r="H35" s="7">
        <f>('Sent To Samsung'!J35-Invoiced!J35)</f>
        <v>-24</v>
      </c>
      <c r="I35" s="4">
        <f t="shared" si="0"/>
        <v>-720</v>
      </c>
    </row>
    <row r="36" spans="1:9" x14ac:dyDescent="0.2">
      <c r="A36" s="2" t="s">
        <v>69</v>
      </c>
      <c r="B36" s="2" t="s">
        <v>70</v>
      </c>
      <c r="C36" s="2" t="s">
        <v>35</v>
      </c>
      <c r="D36" s="2" t="s">
        <v>36</v>
      </c>
      <c r="E36" s="5">
        <v>7</v>
      </c>
      <c r="F36" s="6">
        <v>4</v>
      </c>
      <c r="G36" s="5">
        <v>28</v>
      </c>
      <c r="H36" s="7">
        <f>('Sent To Samsung'!J36-Invoiced!J36)</f>
        <v>0</v>
      </c>
      <c r="I36" s="4">
        <f t="shared" si="0"/>
        <v>0</v>
      </c>
    </row>
    <row r="37" spans="1:9" x14ac:dyDescent="0.2">
      <c r="A37" s="2" t="s">
        <v>69</v>
      </c>
      <c r="B37" s="2" t="s">
        <v>70</v>
      </c>
      <c r="C37" s="2" t="s">
        <v>37</v>
      </c>
      <c r="D37" s="2" t="s">
        <v>38</v>
      </c>
      <c r="E37" s="5">
        <v>7</v>
      </c>
      <c r="F37" s="6">
        <v>4</v>
      </c>
      <c r="G37" s="5">
        <v>28</v>
      </c>
      <c r="H37" s="7">
        <f>('Sent To Samsung'!J37-Invoiced!J37)</f>
        <v>0</v>
      </c>
      <c r="I37" s="4">
        <f t="shared" si="0"/>
        <v>0</v>
      </c>
    </row>
    <row r="38" spans="1:9" x14ac:dyDescent="0.2">
      <c r="A38" s="2" t="s">
        <v>72</v>
      </c>
      <c r="B38" s="2" t="s">
        <v>73</v>
      </c>
      <c r="C38" s="2" t="s">
        <v>32</v>
      </c>
      <c r="D38" s="2" t="s">
        <v>32</v>
      </c>
      <c r="E38" s="5">
        <v>10</v>
      </c>
      <c r="F38" s="6">
        <v>744</v>
      </c>
      <c r="G38" s="5">
        <v>7440</v>
      </c>
      <c r="H38" s="7">
        <f>('Sent To Samsung'!J38-Invoiced!J38)</f>
        <v>-4641</v>
      </c>
      <c r="I38" s="4">
        <f t="shared" si="0"/>
        <v>-46410</v>
      </c>
    </row>
    <row r="39" spans="1:9" x14ac:dyDescent="0.2">
      <c r="A39" s="2" t="s">
        <v>72</v>
      </c>
      <c r="B39" s="2" t="s">
        <v>73</v>
      </c>
      <c r="C39" s="2" t="s">
        <v>39</v>
      </c>
      <c r="D39" s="2" t="s">
        <v>39</v>
      </c>
      <c r="E39" s="5">
        <v>10</v>
      </c>
      <c r="F39" s="6">
        <v>462</v>
      </c>
      <c r="G39" s="5">
        <v>4620</v>
      </c>
      <c r="H39" s="7">
        <f>('Sent To Samsung'!J39-Invoiced!J39)</f>
        <v>-677</v>
      </c>
      <c r="I39" s="4">
        <f t="shared" si="0"/>
        <v>-6770</v>
      </c>
    </row>
    <row r="40" spans="1:9" x14ac:dyDescent="0.2">
      <c r="A40" s="2" t="s">
        <v>72</v>
      </c>
      <c r="B40" s="2" t="s">
        <v>73</v>
      </c>
      <c r="C40" s="2" t="s">
        <v>40</v>
      </c>
      <c r="D40" s="2" t="s">
        <v>40</v>
      </c>
      <c r="E40" s="5">
        <v>5</v>
      </c>
      <c r="F40" s="6">
        <v>111</v>
      </c>
      <c r="G40" s="5">
        <v>555</v>
      </c>
      <c r="H40" s="7">
        <f>('Sent To Samsung'!J40-Invoiced!J40)</f>
        <v>-25</v>
      </c>
      <c r="I40" s="4">
        <f t="shared" si="0"/>
        <v>-125</v>
      </c>
    </row>
    <row r="41" spans="1:9" x14ac:dyDescent="0.2">
      <c r="A41" s="2" t="s">
        <v>72</v>
      </c>
      <c r="B41" s="2" t="s">
        <v>73</v>
      </c>
      <c r="C41" s="2" t="s">
        <v>41</v>
      </c>
      <c r="D41" s="2" t="s">
        <v>41</v>
      </c>
      <c r="E41" s="5">
        <v>20</v>
      </c>
      <c r="F41" s="6">
        <v>147</v>
      </c>
      <c r="G41" s="5">
        <v>2940</v>
      </c>
      <c r="H41" s="7">
        <f>('Sent To Samsung'!J41-Invoiced!J41)</f>
        <v>0</v>
      </c>
      <c r="I41" s="4">
        <f t="shared" si="0"/>
        <v>0</v>
      </c>
    </row>
    <row r="42" spans="1:9" x14ac:dyDescent="0.2">
      <c r="A42" s="2" t="s">
        <v>72</v>
      </c>
      <c r="B42" s="2" t="s">
        <v>73</v>
      </c>
      <c r="C42" s="2" t="s">
        <v>42</v>
      </c>
      <c r="D42" s="2" t="s">
        <v>42</v>
      </c>
      <c r="E42" s="5">
        <v>10</v>
      </c>
      <c r="F42" s="6">
        <v>247</v>
      </c>
      <c r="G42" s="5">
        <v>2470</v>
      </c>
      <c r="H42" s="7">
        <f>('Sent To Samsung'!J42-Invoiced!J42)</f>
        <v>0</v>
      </c>
      <c r="I42" s="4">
        <f t="shared" si="0"/>
        <v>0</v>
      </c>
    </row>
    <row r="43" spans="1:9" x14ac:dyDescent="0.2">
      <c r="A43" s="2" t="s">
        <v>72</v>
      </c>
      <c r="B43" s="2" t="s">
        <v>73</v>
      </c>
      <c r="C43" s="2" t="s">
        <v>43</v>
      </c>
      <c r="D43" s="2" t="s">
        <v>43</v>
      </c>
      <c r="E43" s="5">
        <v>10</v>
      </c>
      <c r="F43" s="6">
        <v>211</v>
      </c>
      <c r="G43" s="5">
        <v>2110</v>
      </c>
      <c r="H43" s="7">
        <f>('Sent To Samsung'!J43-Invoiced!J43)</f>
        <v>0</v>
      </c>
      <c r="I43" s="4">
        <f t="shared" si="0"/>
        <v>0</v>
      </c>
    </row>
    <row r="44" spans="1:9" x14ac:dyDescent="0.2">
      <c r="A44" s="2" t="s">
        <v>72</v>
      </c>
      <c r="B44" s="2" t="s">
        <v>73</v>
      </c>
      <c r="C44" s="2" t="s">
        <v>33</v>
      </c>
      <c r="D44" s="2" t="s">
        <v>33</v>
      </c>
      <c r="E44" s="5">
        <v>10</v>
      </c>
      <c r="F44" s="6">
        <v>19</v>
      </c>
      <c r="G44" s="5">
        <v>190</v>
      </c>
      <c r="H44" s="7">
        <f>('Sent To Samsung'!J44-Invoiced!J44)</f>
        <v>0</v>
      </c>
      <c r="I44" s="4">
        <f t="shared" si="0"/>
        <v>0</v>
      </c>
    </row>
    <row r="45" spans="1:9" x14ac:dyDescent="0.2">
      <c r="A45" s="2" t="s">
        <v>72</v>
      </c>
      <c r="B45" s="2" t="s">
        <v>73</v>
      </c>
      <c r="C45" s="2" t="s">
        <v>34</v>
      </c>
      <c r="D45" s="2" t="s">
        <v>34</v>
      </c>
      <c r="E45" s="5">
        <v>10</v>
      </c>
      <c r="F45" s="6">
        <v>63</v>
      </c>
      <c r="G45" s="5">
        <v>630</v>
      </c>
      <c r="H45" s="7">
        <f>('Sent To Samsung'!J45-Invoiced!J45)</f>
        <v>0</v>
      </c>
      <c r="I45" s="4">
        <f t="shared" si="0"/>
        <v>0</v>
      </c>
    </row>
    <row r="46" spans="1:9" x14ac:dyDescent="0.2">
      <c r="A46" s="2" t="s">
        <v>72</v>
      </c>
      <c r="B46" s="2" t="s">
        <v>73</v>
      </c>
      <c r="C46" s="2" t="s">
        <v>8</v>
      </c>
      <c r="D46" s="2" t="s">
        <v>8</v>
      </c>
      <c r="E46" s="5">
        <v>30</v>
      </c>
      <c r="F46" s="6">
        <v>102</v>
      </c>
      <c r="G46" s="5">
        <v>3060</v>
      </c>
      <c r="H46" s="7">
        <f>('Sent To Samsung'!J46-Invoiced!J46)</f>
        <v>0</v>
      </c>
      <c r="I46" s="4">
        <f t="shared" si="0"/>
        <v>0</v>
      </c>
    </row>
    <row r="47" spans="1:9" x14ac:dyDescent="0.2">
      <c r="A47" s="2" t="s">
        <v>72</v>
      </c>
      <c r="B47" s="2" t="s">
        <v>73</v>
      </c>
      <c r="C47" s="2" t="s">
        <v>9</v>
      </c>
      <c r="D47" s="2" t="s">
        <v>9</v>
      </c>
      <c r="E47" s="5">
        <v>30</v>
      </c>
      <c r="F47" s="6">
        <v>43</v>
      </c>
      <c r="G47" s="5">
        <v>1290</v>
      </c>
      <c r="H47" s="7">
        <f>('Sent To Samsung'!J47-Invoiced!J47)</f>
        <v>-20</v>
      </c>
      <c r="I47" s="4">
        <f t="shared" si="0"/>
        <v>-600</v>
      </c>
    </row>
    <row r="48" spans="1:9" x14ac:dyDescent="0.2">
      <c r="A48" s="2" t="s">
        <v>72</v>
      </c>
      <c r="B48" s="2" t="s">
        <v>73</v>
      </c>
      <c r="C48" s="2" t="s">
        <v>44</v>
      </c>
      <c r="D48" s="2" t="s">
        <v>44</v>
      </c>
      <c r="E48" s="5">
        <v>30</v>
      </c>
      <c r="F48" s="6">
        <v>38</v>
      </c>
      <c r="G48" s="5">
        <v>1140</v>
      </c>
      <c r="H48" s="7">
        <f>('Sent To Samsung'!J48-Invoiced!J48)</f>
        <v>-25</v>
      </c>
      <c r="I48" s="4">
        <f t="shared" si="0"/>
        <v>-750</v>
      </c>
    </row>
    <row r="49" spans="1:9" x14ac:dyDescent="0.2">
      <c r="A49" s="2" t="s">
        <v>72</v>
      </c>
      <c r="B49" s="2" t="s">
        <v>73</v>
      </c>
      <c r="C49" s="2" t="s">
        <v>10</v>
      </c>
      <c r="D49" s="2" t="s">
        <v>10</v>
      </c>
      <c r="E49" s="5">
        <v>30</v>
      </c>
      <c r="F49" s="6">
        <v>168</v>
      </c>
      <c r="G49" s="5">
        <v>5040</v>
      </c>
      <c r="H49" s="7">
        <f>('Sent To Samsung'!J49-Invoiced!J49)</f>
        <v>-598</v>
      </c>
      <c r="I49" s="4">
        <f t="shared" si="0"/>
        <v>-17940</v>
      </c>
    </row>
    <row r="50" spans="1:9" x14ac:dyDescent="0.2">
      <c r="A50" s="2" t="s">
        <v>72</v>
      </c>
      <c r="B50" s="2" t="s">
        <v>73</v>
      </c>
      <c r="C50" s="2" t="s">
        <v>35</v>
      </c>
      <c r="D50" s="2" t="s">
        <v>36</v>
      </c>
      <c r="E50" s="5">
        <v>7</v>
      </c>
      <c r="F50" s="6">
        <v>44</v>
      </c>
      <c r="G50" s="5">
        <v>308</v>
      </c>
      <c r="H50" s="7">
        <f>('Sent To Samsung'!J50-Invoiced!J50)</f>
        <v>0</v>
      </c>
      <c r="I50" s="4">
        <f t="shared" si="0"/>
        <v>0</v>
      </c>
    </row>
    <row r="51" spans="1:9" x14ac:dyDescent="0.2">
      <c r="A51" s="2" t="s">
        <v>72</v>
      </c>
      <c r="B51" s="2" t="s">
        <v>73</v>
      </c>
      <c r="C51" s="2" t="s">
        <v>37</v>
      </c>
      <c r="D51" s="2" t="s">
        <v>38</v>
      </c>
      <c r="E51" s="5">
        <v>7</v>
      </c>
      <c r="F51" s="6">
        <v>44</v>
      </c>
      <c r="G51" s="5">
        <v>308</v>
      </c>
      <c r="H51" s="7">
        <f>('Sent To Samsung'!J51-Invoiced!J51)</f>
        <v>0</v>
      </c>
      <c r="I51" s="4">
        <f t="shared" si="0"/>
        <v>0</v>
      </c>
    </row>
  </sheetData>
  <conditionalFormatting sqref="H2:H51">
    <cfRule type="cellIs" dxfId="0" priority="1" operator="lessThan">
      <formula>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D782-1825-4071-A898-9520868E1DF2}">
  <dimension ref="A1:P51"/>
  <sheetViews>
    <sheetView showGridLines="0" topLeftCell="B1" zoomScale="85" zoomScaleNormal="85" workbookViewId="0">
      <pane ySplit="1" topLeftCell="A2" activePane="bottomLeft" state="frozen"/>
      <selection pane="bottomLeft" activeCell="P50" sqref="P50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54</v>
      </c>
      <c r="F2" s="2" t="s">
        <v>54</v>
      </c>
      <c r="G2" s="5">
        <v>30</v>
      </c>
      <c r="H2" s="6">
        <v>161</v>
      </c>
      <c r="I2" s="5">
        <v>4830</v>
      </c>
      <c r="J2" s="7">
        <v>114</v>
      </c>
      <c r="K2" s="4">
        <f t="shared" ref="K2:K51" si="0">J2*G2</f>
        <v>3420</v>
      </c>
      <c r="L2" s="6">
        <f t="shared" ref="L2:M22" si="1">J2-H2</f>
        <v>-47</v>
      </c>
      <c r="M2" s="5">
        <f t="shared" si="1"/>
        <v>-1410</v>
      </c>
      <c r="N2" s="3">
        <v>45817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12</v>
      </c>
      <c r="F3" s="2" t="s">
        <v>13</v>
      </c>
      <c r="G3" s="5">
        <v>30</v>
      </c>
      <c r="H3" s="6">
        <v>385</v>
      </c>
      <c r="I3" s="5">
        <v>11550</v>
      </c>
      <c r="J3" s="7">
        <v>153</v>
      </c>
      <c r="K3" s="4">
        <f t="shared" si="0"/>
        <v>4590</v>
      </c>
      <c r="L3" s="6">
        <f t="shared" si="1"/>
        <v>-232</v>
      </c>
      <c r="M3" s="5">
        <f t="shared" si="1"/>
        <v>-6960</v>
      </c>
      <c r="N3" s="3">
        <v>45817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57</v>
      </c>
      <c r="F4" s="2" t="s">
        <v>13</v>
      </c>
      <c r="G4" s="5">
        <v>30</v>
      </c>
      <c r="H4" s="6">
        <v>3</v>
      </c>
      <c r="I4" s="5">
        <v>90</v>
      </c>
      <c r="J4" s="7">
        <v>0</v>
      </c>
      <c r="K4" s="4">
        <f t="shared" si="0"/>
        <v>0</v>
      </c>
      <c r="L4" s="6">
        <f t="shared" si="1"/>
        <v>-3</v>
      </c>
      <c r="M4" s="5">
        <f t="shared" si="1"/>
        <v>-90</v>
      </c>
      <c r="N4" s="3">
        <v>45817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14</v>
      </c>
      <c r="F5" s="2" t="s">
        <v>15</v>
      </c>
      <c r="G5" s="5">
        <v>30</v>
      </c>
      <c r="H5" s="6">
        <v>348</v>
      </c>
      <c r="I5" s="5">
        <v>10440</v>
      </c>
      <c r="J5" s="7">
        <v>240</v>
      </c>
      <c r="K5" s="4">
        <f t="shared" si="0"/>
        <v>7200</v>
      </c>
      <c r="L5" s="6">
        <f t="shared" si="1"/>
        <v>-108</v>
      </c>
      <c r="M5" s="5">
        <f t="shared" si="1"/>
        <v>-3240</v>
      </c>
      <c r="N5" s="3">
        <v>45817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58</v>
      </c>
      <c r="F6" s="2" t="s">
        <v>15</v>
      </c>
      <c r="G6" s="5">
        <v>30</v>
      </c>
      <c r="H6" s="6">
        <v>3</v>
      </c>
      <c r="I6" s="5">
        <v>90</v>
      </c>
      <c r="J6" s="7">
        <v>0</v>
      </c>
      <c r="K6" s="4">
        <f t="shared" si="0"/>
        <v>0</v>
      </c>
      <c r="L6" s="6">
        <f t="shared" si="1"/>
        <v>-3</v>
      </c>
      <c r="M6" s="5">
        <f t="shared" si="1"/>
        <v>-90</v>
      </c>
      <c r="N6" s="3">
        <v>45817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16</v>
      </c>
      <c r="F7" s="2" t="s">
        <v>17</v>
      </c>
      <c r="G7" s="5">
        <v>30</v>
      </c>
      <c r="H7" s="6">
        <v>347</v>
      </c>
      <c r="I7" s="5">
        <v>10410</v>
      </c>
      <c r="J7" s="7">
        <v>115</v>
      </c>
      <c r="K7" s="4">
        <f t="shared" si="0"/>
        <v>3450</v>
      </c>
      <c r="L7" s="6">
        <f t="shared" si="1"/>
        <v>-232</v>
      </c>
      <c r="M7" s="5">
        <f t="shared" si="1"/>
        <v>-6960</v>
      </c>
      <c r="N7" s="3">
        <v>45817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53</v>
      </c>
      <c r="F8" s="2" t="s">
        <v>17</v>
      </c>
      <c r="G8" s="5">
        <v>30</v>
      </c>
      <c r="H8" s="6">
        <v>3</v>
      </c>
      <c r="I8" s="5">
        <v>90</v>
      </c>
      <c r="J8" s="7">
        <v>0</v>
      </c>
      <c r="K8" s="4">
        <f t="shared" si="0"/>
        <v>0</v>
      </c>
      <c r="L8" s="6">
        <f t="shared" si="1"/>
        <v>-3</v>
      </c>
      <c r="M8" s="5">
        <f t="shared" si="1"/>
        <v>-90</v>
      </c>
      <c r="N8" s="3">
        <v>45817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18</v>
      </c>
      <c r="F9" s="2" t="s">
        <v>19</v>
      </c>
      <c r="G9" s="5">
        <v>30</v>
      </c>
      <c r="H9" s="6">
        <v>135</v>
      </c>
      <c r="I9" s="5">
        <v>4050</v>
      </c>
      <c r="J9" s="7">
        <v>25</v>
      </c>
      <c r="K9" s="4">
        <f t="shared" si="0"/>
        <v>750</v>
      </c>
      <c r="L9" s="6">
        <f t="shared" si="1"/>
        <v>-110</v>
      </c>
      <c r="M9" s="5">
        <f t="shared" si="1"/>
        <v>-3300</v>
      </c>
      <c r="N9" s="3">
        <v>45817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20</v>
      </c>
      <c r="F10" s="2" t="s">
        <v>21</v>
      </c>
      <c r="G10" s="5">
        <v>30</v>
      </c>
      <c r="H10" s="6">
        <v>128</v>
      </c>
      <c r="I10" s="5">
        <v>3840</v>
      </c>
      <c r="J10" s="7">
        <v>31</v>
      </c>
      <c r="K10" s="4">
        <f t="shared" si="0"/>
        <v>930</v>
      </c>
      <c r="L10" s="6">
        <f t="shared" si="1"/>
        <v>-97</v>
      </c>
      <c r="M10" s="5">
        <f t="shared" si="1"/>
        <v>-2910</v>
      </c>
      <c r="N10" s="3">
        <v>45817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22</v>
      </c>
      <c r="F11" s="2" t="s">
        <v>23</v>
      </c>
      <c r="G11" s="5">
        <v>30</v>
      </c>
      <c r="H11" s="6">
        <v>174</v>
      </c>
      <c r="I11" s="5">
        <v>5220</v>
      </c>
      <c r="J11" s="7">
        <v>15</v>
      </c>
      <c r="K11" s="4">
        <f t="shared" si="0"/>
        <v>450</v>
      </c>
      <c r="L11" s="6">
        <f t="shared" si="1"/>
        <v>-159</v>
      </c>
      <c r="M11" s="5">
        <f t="shared" si="1"/>
        <v>-4770</v>
      </c>
      <c r="N11" s="3">
        <v>45817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24</v>
      </c>
      <c r="F12" s="2" t="s">
        <v>25</v>
      </c>
      <c r="G12" s="5">
        <v>30</v>
      </c>
      <c r="H12" s="6">
        <v>162</v>
      </c>
      <c r="I12" s="5">
        <v>4860</v>
      </c>
      <c r="J12" s="7">
        <v>15</v>
      </c>
      <c r="K12" s="4">
        <f t="shared" si="0"/>
        <v>450</v>
      </c>
      <c r="L12" s="6">
        <f t="shared" si="1"/>
        <v>-147</v>
      </c>
      <c r="M12" s="5">
        <f t="shared" si="1"/>
        <v>-4410</v>
      </c>
      <c r="N12" s="3">
        <v>45817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59</v>
      </c>
      <c r="F13" s="2" t="s">
        <v>25</v>
      </c>
      <c r="G13" s="5">
        <v>30</v>
      </c>
      <c r="H13" s="6">
        <v>3</v>
      </c>
      <c r="I13" s="5">
        <v>90</v>
      </c>
      <c r="J13" s="7">
        <v>0</v>
      </c>
      <c r="K13" s="4">
        <f t="shared" si="0"/>
        <v>0</v>
      </c>
      <c r="L13" s="6">
        <f t="shared" si="1"/>
        <v>-3</v>
      </c>
      <c r="M13" s="5">
        <f t="shared" si="1"/>
        <v>-90</v>
      </c>
      <c r="N13" s="3">
        <v>45817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26</v>
      </c>
      <c r="F14" s="2" t="s">
        <v>27</v>
      </c>
      <c r="G14" s="5">
        <v>30</v>
      </c>
      <c r="H14" s="6">
        <v>203</v>
      </c>
      <c r="I14" s="5">
        <v>6090</v>
      </c>
      <c r="J14" s="7">
        <v>41</v>
      </c>
      <c r="K14" s="4">
        <f t="shared" si="0"/>
        <v>1230</v>
      </c>
      <c r="L14" s="6">
        <f t="shared" si="1"/>
        <v>-162</v>
      </c>
      <c r="M14" s="5">
        <f t="shared" si="1"/>
        <v>-4860</v>
      </c>
      <c r="N14" s="3">
        <v>45817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60</v>
      </c>
      <c r="F15" s="2" t="s">
        <v>27</v>
      </c>
      <c r="G15" s="5">
        <v>30</v>
      </c>
      <c r="H15" s="6">
        <v>3</v>
      </c>
      <c r="I15" s="5">
        <v>90</v>
      </c>
      <c r="J15" s="7">
        <v>0</v>
      </c>
      <c r="K15" s="4">
        <f t="shared" si="0"/>
        <v>0</v>
      </c>
      <c r="L15" s="6">
        <f t="shared" si="1"/>
        <v>-3</v>
      </c>
      <c r="M15" s="5">
        <f t="shared" si="1"/>
        <v>-90</v>
      </c>
      <c r="N15" s="3">
        <v>45817</v>
      </c>
      <c r="O15" s="3">
        <v>45837</v>
      </c>
    </row>
    <row r="16" spans="1:15" x14ac:dyDescent="0.2">
      <c r="A16" s="2" t="s">
        <v>63</v>
      </c>
      <c r="B16" s="2" t="s">
        <v>64</v>
      </c>
      <c r="C16" s="2" t="s">
        <v>62</v>
      </c>
      <c r="D16" s="2" t="s">
        <v>11</v>
      </c>
      <c r="E16" s="2" t="s">
        <v>28</v>
      </c>
      <c r="F16" s="2" t="s">
        <v>29</v>
      </c>
      <c r="G16" s="5">
        <v>30</v>
      </c>
      <c r="H16" s="6">
        <v>201</v>
      </c>
      <c r="I16" s="5">
        <v>6030</v>
      </c>
      <c r="J16" s="7">
        <v>20</v>
      </c>
      <c r="K16" s="4">
        <f t="shared" si="0"/>
        <v>600</v>
      </c>
      <c r="L16" s="6">
        <f t="shared" si="1"/>
        <v>-181</v>
      </c>
      <c r="M16" s="5">
        <f t="shared" si="1"/>
        <v>-5430</v>
      </c>
      <c r="N16" s="3">
        <v>45817</v>
      </c>
      <c r="O16" s="3">
        <v>45837</v>
      </c>
    </row>
    <row r="17" spans="1:16" x14ac:dyDescent="0.2">
      <c r="A17" s="2" t="s">
        <v>63</v>
      </c>
      <c r="B17" s="2" t="s">
        <v>64</v>
      </c>
      <c r="C17" s="2" t="s">
        <v>62</v>
      </c>
      <c r="D17" s="2" t="s">
        <v>11</v>
      </c>
      <c r="E17" s="2" t="s">
        <v>61</v>
      </c>
      <c r="F17" s="2" t="s">
        <v>29</v>
      </c>
      <c r="G17" s="5">
        <v>30</v>
      </c>
      <c r="H17" s="6">
        <v>3</v>
      </c>
      <c r="I17" s="5">
        <v>90</v>
      </c>
      <c r="J17" s="7">
        <v>0</v>
      </c>
      <c r="K17" s="4">
        <f t="shared" si="0"/>
        <v>0</v>
      </c>
      <c r="L17" s="6">
        <f t="shared" si="1"/>
        <v>-3</v>
      </c>
      <c r="M17" s="5">
        <f t="shared" si="1"/>
        <v>-90</v>
      </c>
      <c r="N17" s="3">
        <v>45817</v>
      </c>
      <c r="O17" s="3">
        <v>45837</v>
      </c>
    </row>
    <row r="18" spans="1:16" x14ac:dyDescent="0.2">
      <c r="A18" s="2" t="s">
        <v>63</v>
      </c>
      <c r="B18" s="2" t="s">
        <v>64</v>
      </c>
      <c r="C18" s="2" t="s">
        <v>62</v>
      </c>
      <c r="D18" s="2" t="s">
        <v>11</v>
      </c>
      <c r="E18" s="2" t="s">
        <v>30</v>
      </c>
      <c r="F18" s="2" t="s">
        <v>31</v>
      </c>
      <c r="G18" s="5">
        <v>30</v>
      </c>
      <c r="H18" s="6">
        <v>93</v>
      </c>
      <c r="I18" s="5">
        <v>2790</v>
      </c>
      <c r="J18" s="7">
        <v>36</v>
      </c>
      <c r="K18" s="4">
        <f t="shared" si="0"/>
        <v>1080</v>
      </c>
      <c r="L18" s="6">
        <f t="shared" si="1"/>
        <v>-57</v>
      </c>
      <c r="M18" s="5">
        <f t="shared" si="1"/>
        <v>-1710</v>
      </c>
      <c r="N18" s="3">
        <v>45817</v>
      </c>
      <c r="O18" s="3">
        <v>45837</v>
      </c>
    </row>
    <row r="19" spans="1:16" x14ac:dyDescent="0.2">
      <c r="A19" s="2" t="s">
        <v>63</v>
      </c>
      <c r="B19" s="2" t="s">
        <v>64</v>
      </c>
      <c r="C19" s="2" t="s">
        <v>62</v>
      </c>
      <c r="D19" s="2" t="s">
        <v>11</v>
      </c>
      <c r="E19" s="2" t="s">
        <v>45</v>
      </c>
      <c r="F19" s="2" t="s">
        <v>46</v>
      </c>
      <c r="G19" s="5">
        <v>30</v>
      </c>
      <c r="H19" s="6">
        <v>116</v>
      </c>
      <c r="I19" s="5">
        <v>3480</v>
      </c>
      <c r="J19" s="7">
        <v>20</v>
      </c>
      <c r="K19" s="4">
        <f t="shared" si="0"/>
        <v>600</v>
      </c>
      <c r="L19" s="6">
        <f t="shared" si="1"/>
        <v>-96</v>
      </c>
      <c r="M19" s="5">
        <f t="shared" si="1"/>
        <v>-2880</v>
      </c>
      <c r="N19" s="3">
        <v>45817</v>
      </c>
      <c r="O19" s="3">
        <v>45837</v>
      </c>
    </row>
    <row r="20" spans="1:16" x14ac:dyDescent="0.2">
      <c r="A20" s="2" t="s">
        <v>63</v>
      </c>
      <c r="B20" s="2" t="s">
        <v>64</v>
      </c>
      <c r="C20" s="2" t="s">
        <v>62</v>
      </c>
      <c r="D20" s="2" t="s">
        <v>11</v>
      </c>
      <c r="E20" s="2" t="s">
        <v>47</v>
      </c>
      <c r="F20" s="2" t="s">
        <v>48</v>
      </c>
      <c r="G20" s="5">
        <v>30</v>
      </c>
      <c r="H20" s="6">
        <v>185</v>
      </c>
      <c r="I20" s="5">
        <v>5550</v>
      </c>
      <c r="J20" s="7">
        <v>20</v>
      </c>
      <c r="K20" s="4">
        <f t="shared" si="0"/>
        <v>600</v>
      </c>
      <c r="L20" s="6">
        <f t="shared" si="1"/>
        <v>-165</v>
      </c>
      <c r="M20" s="5">
        <f t="shared" si="1"/>
        <v>-4950</v>
      </c>
      <c r="N20" s="3">
        <v>45817</v>
      </c>
      <c r="O20" s="3">
        <v>45837</v>
      </c>
    </row>
    <row r="21" spans="1:16" x14ac:dyDescent="0.2">
      <c r="A21" s="2" t="s">
        <v>63</v>
      </c>
      <c r="B21" s="2" t="s">
        <v>64</v>
      </c>
      <c r="C21" s="2" t="s">
        <v>62</v>
      </c>
      <c r="D21" s="2" t="s">
        <v>11</v>
      </c>
      <c r="E21" s="2" t="s">
        <v>49</v>
      </c>
      <c r="F21" s="2" t="s">
        <v>50</v>
      </c>
      <c r="G21" s="5">
        <v>30</v>
      </c>
      <c r="H21" s="6">
        <v>131</v>
      </c>
      <c r="I21" s="5">
        <v>3930</v>
      </c>
      <c r="J21" s="7">
        <v>36</v>
      </c>
      <c r="K21" s="4">
        <f t="shared" si="0"/>
        <v>1080</v>
      </c>
      <c r="L21" s="6">
        <f t="shared" si="1"/>
        <v>-95</v>
      </c>
      <c r="M21" s="5">
        <f t="shared" si="1"/>
        <v>-2850</v>
      </c>
      <c r="N21" s="3">
        <v>45817</v>
      </c>
      <c r="O21" s="3">
        <v>45837</v>
      </c>
    </row>
    <row r="22" spans="1:16" x14ac:dyDescent="0.2">
      <c r="A22" s="2" t="s">
        <v>63</v>
      </c>
      <c r="B22" s="2" t="s">
        <v>64</v>
      </c>
      <c r="C22" s="2" t="s">
        <v>62</v>
      </c>
      <c r="D22" s="2" t="s">
        <v>11</v>
      </c>
      <c r="E22" s="2" t="s">
        <v>51</v>
      </c>
      <c r="F22" s="2" t="s">
        <v>52</v>
      </c>
      <c r="G22" s="5">
        <v>30</v>
      </c>
      <c r="H22" s="6">
        <v>135</v>
      </c>
      <c r="I22" s="5">
        <v>4050</v>
      </c>
      <c r="J22" s="7">
        <v>25</v>
      </c>
      <c r="K22" s="4">
        <f t="shared" si="0"/>
        <v>750</v>
      </c>
      <c r="L22" s="6">
        <f t="shared" si="1"/>
        <v>-110</v>
      </c>
      <c r="M22" s="5">
        <f t="shared" si="1"/>
        <v>-3300</v>
      </c>
      <c r="N22" s="3">
        <v>45817</v>
      </c>
      <c r="O22" s="3">
        <v>45837</v>
      </c>
    </row>
    <row r="23" spans="1:16" x14ac:dyDescent="0.2">
      <c r="A23" s="2" t="s">
        <v>66</v>
      </c>
      <c r="B23" s="2" t="s">
        <v>67</v>
      </c>
      <c r="C23" s="2" t="s">
        <v>65</v>
      </c>
      <c r="D23" s="2" t="s">
        <v>11</v>
      </c>
      <c r="E23" s="2" t="s">
        <v>55</v>
      </c>
      <c r="F23" s="2" t="s">
        <v>55</v>
      </c>
      <c r="G23" s="5">
        <v>15</v>
      </c>
      <c r="H23" s="6">
        <v>5</v>
      </c>
      <c r="I23" s="5">
        <v>75</v>
      </c>
      <c r="J23" s="7">
        <v>550</v>
      </c>
      <c r="K23" s="4">
        <f t="shared" si="0"/>
        <v>8250</v>
      </c>
      <c r="L23" s="6">
        <f t="shared" ref="L23:M38" si="2">J23-H23</f>
        <v>545</v>
      </c>
      <c r="M23" s="5">
        <f t="shared" si="2"/>
        <v>8175</v>
      </c>
      <c r="N23" s="3">
        <v>45817</v>
      </c>
      <c r="O23" s="3">
        <v>45837</v>
      </c>
    </row>
    <row r="24" spans="1:16" x14ac:dyDescent="0.2">
      <c r="A24" s="2" t="s">
        <v>66</v>
      </c>
      <c r="B24" s="2" t="s">
        <v>67</v>
      </c>
      <c r="C24" s="2" t="s">
        <v>65</v>
      </c>
      <c r="D24" s="2" t="s">
        <v>11</v>
      </c>
      <c r="E24" s="2" t="s">
        <v>56</v>
      </c>
      <c r="F24" s="2" t="s">
        <v>56</v>
      </c>
      <c r="G24" s="5">
        <v>15</v>
      </c>
      <c r="H24" s="6">
        <v>5</v>
      </c>
      <c r="I24" s="5">
        <v>75</v>
      </c>
      <c r="J24" s="7">
        <v>430</v>
      </c>
      <c r="K24" s="4">
        <f t="shared" si="0"/>
        <v>6450</v>
      </c>
      <c r="L24" s="6">
        <f t="shared" si="2"/>
        <v>425</v>
      </c>
      <c r="M24" s="5">
        <f t="shared" si="2"/>
        <v>6375</v>
      </c>
      <c r="N24" s="3">
        <v>45817</v>
      </c>
      <c r="O24" s="3">
        <v>45837</v>
      </c>
    </row>
    <row r="25" spans="1:16" x14ac:dyDescent="0.2">
      <c r="A25" s="2" t="s">
        <v>69</v>
      </c>
      <c r="B25" s="2" t="s">
        <v>70</v>
      </c>
      <c r="C25" s="2" t="s">
        <v>68</v>
      </c>
      <c r="D25" s="2" t="s">
        <v>11</v>
      </c>
      <c r="E25" s="2" t="s">
        <v>39</v>
      </c>
      <c r="F25" s="2" t="s">
        <v>39</v>
      </c>
      <c r="G25" s="5">
        <v>10</v>
      </c>
      <c r="H25" s="6">
        <v>1120</v>
      </c>
      <c r="I25" s="5">
        <v>11200</v>
      </c>
      <c r="J25" s="7">
        <v>3979</v>
      </c>
      <c r="K25" s="4">
        <f t="shared" si="0"/>
        <v>39790</v>
      </c>
      <c r="L25" s="6">
        <f t="shared" si="2"/>
        <v>2859</v>
      </c>
      <c r="M25" s="5">
        <f t="shared" si="2"/>
        <v>28590</v>
      </c>
      <c r="N25" s="3">
        <v>45831</v>
      </c>
      <c r="O25" s="3">
        <v>45837</v>
      </c>
      <c r="P25">
        <v>486</v>
      </c>
    </row>
    <row r="26" spans="1:16" x14ac:dyDescent="0.2">
      <c r="A26" s="2" t="s">
        <v>69</v>
      </c>
      <c r="B26" s="2" t="s">
        <v>70</v>
      </c>
      <c r="C26" s="2" t="s">
        <v>68</v>
      </c>
      <c r="D26" s="2" t="s">
        <v>11</v>
      </c>
      <c r="E26" s="2" t="s">
        <v>40</v>
      </c>
      <c r="F26" s="2" t="s">
        <v>40</v>
      </c>
      <c r="G26" s="5">
        <v>5</v>
      </c>
      <c r="H26" s="6">
        <v>280</v>
      </c>
      <c r="I26" s="5">
        <v>1400</v>
      </c>
      <c r="J26" s="7">
        <v>28</v>
      </c>
      <c r="K26" s="4">
        <f t="shared" si="0"/>
        <v>140</v>
      </c>
      <c r="L26" s="6">
        <f t="shared" si="2"/>
        <v>-252</v>
      </c>
      <c r="M26" s="5">
        <f t="shared" si="2"/>
        <v>-1260</v>
      </c>
      <c r="N26" s="3">
        <v>45831</v>
      </c>
      <c r="O26" s="3">
        <v>45837</v>
      </c>
      <c r="P26">
        <v>28</v>
      </c>
    </row>
    <row r="27" spans="1:16" x14ac:dyDescent="0.2">
      <c r="A27" s="2" t="s">
        <v>69</v>
      </c>
      <c r="B27" s="2" t="s">
        <v>70</v>
      </c>
      <c r="C27" s="2" t="s">
        <v>68</v>
      </c>
      <c r="D27" s="2" t="s">
        <v>11</v>
      </c>
      <c r="E27" s="2" t="s">
        <v>41</v>
      </c>
      <c r="F27" s="2" t="s">
        <v>41</v>
      </c>
      <c r="G27" s="5">
        <v>20</v>
      </c>
      <c r="H27" s="6">
        <v>630</v>
      </c>
      <c r="I27" s="5">
        <v>12600</v>
      </c>
      <c r="J27" s="7">
        <v>219</v>
      </c>
      <c r="K27" s="4">
        <f t="shared" si="0"/>
        <v>4380</v>
      </c>
      <c r="L27" s="6">
        <f t="shared" si="2"/>
        <v>-411</v>
      </c>
      <c r="M27" s="5">
        <f t="shared" si="2"/>
        <v>-8220</v>
      </c>
      <c r="N27" s="3">
        <v>45831</v>
      </c>
      <c r="O27" s="3">
        <v>45837</v>
      </c>
      <c r="P27">
        <v>89</v>
      </c>
    </row>
    <row r="28" spans="1:16" x14ac:dyDescent="0.2">
      <c r="A28" s="2" t="s">
        <v>69</v>
      </c>
      <c r="B28" s="2" t="s">
        <v>70</v>
      </c>
      <c r="C28" s="2" t="s">
        <v>68</v>
      </c>
      <c r="D28" s="2" t="s">
        <v>11</v>
      </c>
      <c r="E28" s="2" t="s">
        <v>42</v>
      </c>
      <c r="F28" s="2" t="s">
        <v>42</v>
      </c>
      <c r="G28" s="5">
        <v>10</v>
      </c>
      <c r="H28" s="6">
        <v>420</v>
      </c>
      <c r="I28" s="5">
        <v>4200</v>
      </c>
      <c r="J28" s="7">
        <v>240</v>
      </c>
      <c r="K28" s="4">
        <f t="shared" si="0"/>
        <v>2400</v>
      </c>
      <c r="L28" s="6">
        <f t="shared" si="2"/>
        <v>-180</v>
      </c>
      <c r="M28" s="5">
        <f t="shared" si="2"/>
        <v>-1800</v>
      </c>
      <c r="N28" s="3">
        <v>45831</v>
      </c>
      <c r="O28" s="3">
        <v>45837</v>
      </c>
      <c r="P28">
        <v>70</v>
      </c>
    </row>
    <row r="29" spans="1:16" x14ac:dyDescent="0.2">
      <c r="A29" s="2" t="s">
        <v>69</v>
      </c>
      <c r="B29" s="2" t="s">
        <v>70</v>
      </c>
      <c r="C29" s="2" t="s">
        <v>68</v>
      </c>
      <c r="D29" s="2" t="s">
        <v>11</v>
      </c>
      <c r="E29" s="2" t="s">
        <v>43</v>
      </c>
      <c r="F29" s="2" t="s">
        <v>43</v>
      </c>
      <c r="G29" s="5">
        <v>10</v>
      </c>
      <c r="H29" s="6">
        <v>700</v>
      </c>
      <c r="I29" s="5">
        <v>7000</v>
      </c>
      <c r="J29" s="7">
        <v>706</v>
      </c>
      <c r="K29" s="4">
        <f t="shared" si="0"/>
        <v>7060</v>
      </c>
      <c r="L29" s="6">
        <f t="shared" si="2"/>
        <v>6</v>
      </c>
      <c r="M29" s="5">
        <f t="shared" si="2"/>
        <v>60</v>
      </c>
      <c r="N29" s="3">
        <v>45831</v>
      </c>
      <c r="O29" s="3">
        <v>45837</v>
      </c>
      <c r="P29">
        <v>311</v>
      </c>
    </row>
    <row r="30" spans="1:16" x14ac:dyDescent="0.2">
      <c r="A30" s="2" t="s">
        <v>69</v>
      </c>
      <c r="B30" s="2" t="s">
        <v>70</v>
      </c>
      <c r="C30" s="2" t="s">
        <v>68</v>
      </c>
      <c r="D30" s="2" t="s">
        <v>11</v>
      </c>
      <c r="E30" s="2" t="s">
        <v>33</v>
      </c>
      <c r="F30" s="2" t="s">
        <v>33</v>
      </c>
      <c r="G30" s="5">
        <v>10</v>
      </c>
      <c r="H30" s="6">
        <v>7</v>
      </c>
      <c r="I30" s="5">
        <v>70</v>
      </c>
      <c r="J30" s="7">
        <v>0</v>
      </c>
      <c r="K30" s="4">
        <f t="shared" si="0"/>
        <v>0</v>
      </c>
      <c r="L30" s="6">
        <f t="shared" si="2"/>
        <v>-7</v>
      </c>
      <c r="M30" s="5">
        <f t="shared" si="2"/>
        <v>-70</v>
      </c>
      <c r="N30" s="3">
        <v>45831</v>
      </c>
      <c r="O30" s="3">
        <v>45837</v>
      </c>
    </row>
    <row r="31" spans="1:16" x14ac:dyDescent="0.2">
      <c r="A31" s="2" t="s">
        <v>69</v>
      </c>
      <c r="B31" s="2" t="s">
        <v>70</v>
      </c>
      <c r="C31" s="2" t="s">
        <v>68</v>
      </c>
      <c r="D31" s="2" t="s">
        <v>11</v>
      </c>
      <c r="E31" s="2" t="s">
        <v>34</v>
      </c>
      <c r="F31" s="2" t="s">
        <v>34</v>
      </c>
      <c r="G31" s="5">
        <v>10</v>
      </c>
      <c r="H31" s="6">
        <v>7</v>
      </c>
      <c r="I31" s="5">
        <v>70</v>
      </c>
      <c r="J31" s="7">
        <v>0</v>
      </c>
      <c r="K31" s="4">
        <f t="shared" si="0"/>
        <v>0</v>
      </c>
      <c r="L31" s="6">
        <f t="shared" si="2"/>
        <v>-7</v>
      </c>
      <c r="M31" s="5">
        <f t="shared" si="2"/>
        <v>-70</v>
      </c>
      <c r="N31" s="3">
        <v>45831</v>
      </c>
      <c r="O31" s="3">
        <v>45837</v>
      </c>
      <c r="P31">
        <v>27</v>
      </c>
    </row>
    <row r="32" spans="1:16" x14ac:dyDescent="0.2">
      <c r="A32" s="2" t="s">
        <v>69</v>
      </c>
      <c r="B32" s="2" t="s">
        <v>70</v>
      </c>
      <c r="C32" s="2" t="s">
        <v>68</v>
      </c>
      <c r="D32" s="2" t="s">
        <v>11</v>
      </c>
      <c r="E32" s="2" t="s">
        <v>8</v>
      </c>
      <c r="F32" s="2" t="s">
        <v>8</v>
      </c>
      <c r="G32" s="5">
        <v>30</v>
      </c>
      <c r="H32" s="6">
        <v>105</v>
      </c>
      <c r="I32" s="5">
        <v>3150</v>
      </c>
      <c r="J32" s="7">
        <v>40</v>
      </c>
      <c r="K32" s="4">
        <f t="shared" si="0"/>
        <v>1200</v>
      </c>
      <c r="L32" s="6">
        <f t="shared" si="2"/>
        <v>-65</v>
      </c>
      <c r="M32" s="5">
        <f t="shared" si="2"/>
        <v>-1950</v>
      </c>
      <c r="N32" s="3">
        <v>45831</v>
      </c>
      <c r="O32" s="3">
        <v>45837</v>
      </c>
      <c r="P32">
        <v>156</v>
      </c>
    </row>
    <row r="33" spans="1:16" x14ac:dyDescent="0.2">
      <c r="A33" s="2" t="s">
        <v>69</v>
      </c>
      <c r="B33" s="2" t="s">
        <v>70</v>
      </c>
      <c r="C33" s="2" t="s">
        <v>68</v>
      </c>
      <c r="D33" s="2" t="s">
        <v>11</v>
      </c>
      <c r="E33" s="2" t="s">
        <v>9</v>
      </c>
      <c r="F33" s="2" t="s">
        <v>9</v>
      </c>
      <c r="G33" s="5">
        <v>30</v>
      </c>
      <c r="H33" s="6">
        <v>42</v>
      </c>
      <c r="I33" s="5">
        <v>1260</v>
      </c>
      <c r="J33" s="7">
        <v>0</v>
      </c>
      <c r="K33" s="4">
        <f t="shared" si="0"/>
        <v>0</v>
      </c>
      <c r="L33" s="6">
        <f t="shared" si="2"/>
        <v>-42</v>
      </c>
      <c r="M33" s="5">
        <f t="shared" si="2"/>
        <v>-1260</v>
      </c>
      <c r="N33" s="3">
        <v>45831</v>
      </c>
      <c r="O33" s="3">
        <v>45837</v>
      </c>
    </row>
    <row r="34" spans="1:16" x14ac:dyDescent="0.2">
      <c r="A34" s="2" t="s">
        <v>69</v>
      </c>
      <c r="B34" s="2" t="s">
        <v>70</v>
      </c>
      <c r="C34" s="2" t="s">
        <v>68</v>
      </c>
      <c r="D34" s="2" t="s">
        <v>11</v>
      </c>
      <c r="E34" s="2" t="s">
        <v>44</v>
      </c>
      <c r="F34" s="2" t="s">
        <v>44</v>
      </c>
      <c r="G34" s="5">
        <v>30</v>
      </c>
      <c r="H34" s="6">
        <v>42</v>
      </c>
      <c r="I34" s="5">
        <v>1260</v>
      </c>
      <c r="J34" s="7">
        <v>444</v>
      </c>
      <c r="K34" s="4">
        <f t="shared" si="0"/>
        <v>13320</v>
      </c>
      <c r="L34" s="6">
        <f t="shared" si="2"/>
        <v>402</v>
      </c>
      <c r="M34" s="5">
        <f t="shared" si="2"/>
        <v>12060</v>
      </c>
      <c r="N34" s="3">
        <v>45831</v>
      </c>
      <c r="O34" s="3">
        <v>45837</v>
      </c>
    </row>
    <row r="35" spans="1:16" x14ac:dyDescent="0.2">
      <c r="A35" s="2" t="s">
        <v>69</v>
      </c>
      <c r="B35" s="2" t="s">
        <v>70</v>
      </c>
      <c r="C35" s="2" t="s">
        <v>68</v>
      </c>
      <c r="D35" s="2" t="s">
        <v>11</v>
      </c>
      <c r="E35" s="2" t="s">
        <v>10</v>
      </c>
      <c r="F35" s="2" t="s">
        <v>10</v>
      </c>
      <c r="G35" s="5">
        <v>30</v>
      </c>
      <c r="H35" s="6">
        <v>140</v>
      </c>
      <c r="I35" s="5">
        <v>4200</v>
      </c>
      <c r="J35" s="7">
        <v>282</v>
      </c>
      <c r="K35" s="4">
        <f t="shared" si="0"/>
        <v>8460</v>
      </c>
      <c r="L35" s="6">
        <f t="shared" si="2"/>
        <v>142</v>
      </c>
      <c r="M35" s="5">
        <f t="shared" si="2"/>
        <v>4260</v>
      </c>
      <c r="N35" s="3">
        <v>45831</v>
      </c>
      <c r="O35" s="3">
        <v>45837</v>
      </c>
    </row>
    <row r="36" spans="1:16" x14ac:dyDescent="0.2">
      <c r="A36" s="2" t="s">
        <v>69</v>
      </c>
      <c r="B36" s="2" t="s">
        <v>70</v>
      </c>
      <c r="C36" s="2" t="s">
        <v>68</v>
      </c>
      <c r="D36" s="2" t="s">
        <v>11</v>
      </c>
      <c r="E36" s="2" t="s">
        <v>35</v>
      </c>
      <c r="F36" s="2" t="s">
        <v>36</v>
      </c>
      <c r="G36" s="5">
        <v>7</v>
      </c>
      <c r="H36" s="6">
        <v>4</v>
      </c>
      <c r="I36" s="5">
        <v>28</v>
      </c>
      <c r="J36" s="7">
        <v>0</v>
      </c>
      <c r="K36" s="4">
        <f t="shared" si="0"/>
        <v>0</v>
      </c>
      <c r="L36" s="6">
        <f t="shared" si="2"/>
        <v>-4</v>
      </c>
      <c r="M36" s="5">
        <f t="shared" si="2"/>
        <v>-28</v>
      </c>
      <c r="N36" s="3">
        <v>45831</v>
      </c>
      <c r="O36" s="3">
        <v>45837</v>
      </c>
    </row>
    <row r="37" spans="1:16" x14ac:dyDescent="0.2">
      <c r="A37" s="2" t="s">
        <v>69</v>
      </c>
      <c r="B37" s="2" t="s">
        <v>70</v>
      </c>
      <c r="C37" s="2" t="s">
        <v>68</v>
      </c>
      <c r="D37" s="2" t="s">
        <v>11</v>
      </c>
      <c r="E37" s="2" t="s">
        <v>37</v>
      </c>
      <c r="F37" s="2" t="s">
        <v>38</v>
      </c>
      <c r="G37" s="5">
        <v>7</v>
      </c>
      <c r="H37" s="6">
        <v>4</v>
      </c>
      <c r="I37" s="5">
        <v>28</v>
      </c>
      <c r="J37" s="7">
        <v>0</v>
      </c>
      <c r="K37" s="4">
        <f t="shared" si="0"/>
        <v>0</v>
      </c>
      <c r="L37" s="6">
        <f t="shared" si="2"/>
        <v>-4</v>
      </c>
      <c r="M37" s="5">
        <f t="shared" si="2"/>
        <v>-28</v>
      </c>
      <c r="N37" s="3">
        <v>45831</v>
      </c>
      <c r="O37" s="3">
        <v>45837</v>
      </c>
    </row>
    <row r="38" spans="1:16" x14ac:dyDescent="0.2">
      <c r="A38" s="2" t="s">
        <v>72</v>
      </c>
      <c r="B38" s="2" t="s">
        <v>73</v>
      </c>
      <c r="C38" s="2" t="s">
        <v>71</v>
      </c>
      <c r="D38" s="2" t="s">
        <v>11</v>
      </c>
      <c r="E38" s="2" t="s">
        <v>32</v>
      </c>
      <c r="F38" s="2" t="s">
        <v>32</v>
      </c>
      <c r="G38" s="5">
        <v>10</v>
      </c>
      <c r="H38" s="6">
        <v>744</v>
      </c>
      <c r="I38" s="5">
        <v>7440</v>
      </c>
      <c r="J38" s="7">
        <v>5640</v>
      </c>
      <c r="K38" s="4">
        <f t="shared" si="0"/>
        <v>56400</v>
      </c>
      <c r="L38" s="6">
        <f t="shared" si="2"/>
        <v>4896</v>
      </c>
      <c r="M38" s="5">
        <f t="shared" si="2"/>
        <v>48960</v>
      </c>
      <c r="N38" s="3">
        <v>45831</v>
      </c>
      <c r="O38" s="3">
        <v>45837</v>
      </c>
      <c r="P38" s="7">
        <v>5640</v>
      </c>
    </row>
    <row r="39" spans="1:16" x14ac:dyDescent="0.2">
      <c r="A39" s="2" t="s">
        <v>72</v>
      </c>
      <c r="B39" s="2" t="s">
        <v>73</v>
      </c>
      <c r="C39" s="2" t="s">
        <v>71</v>
      </c>
      <c r="D39" s="2" t="s">
        <v>11</v>
      </c>
      <c r="E39" s="2" t="s">
        <v>39</v>
      </c>
      <c r="F39" s="2" t="s">
        <v>39</v>
      </c>
      <c r="G39" s="5">
        <v>10</v>
      </c>
      <c r="H39" s="6">
        <v>462</v>
      </c>
      <c r="I39" s="5">
        <v>4620</v>
      </c>
      <c r="J39" s="7">
        <v>1477</v>
      </c>
      <c r="K39" s="4">
        <f t="shared" si="0"/>
        <v>14770</v>
      </c>
      <c r="L39" s="6">
        <f t="shared" ref="L39:M51" si="3">J39-H39</f>
        <v>1015</v>
      </c>
      <c r="M39" s="5">
        <f t="shared" si="3"/>
        <v>10150</v>
      </c>
      <c r="N39" s="3">
        <v>45831</v>
      </c>
      <c r="O39" s="3">
        <v>45837</v>
      </c>
    </row>
    <row r="40" spans="1:16" x14ac:dyDescent="0.2">
      <c r="A40" s="2" t="s">
        <v>72</v>
      </c>
      <c r="B40" s="2" t="s">
        <v>73</v>
      </c>
      <c r="C40" s="2" t="s">
        <v>71</v>
      </c>
      <c r="D40" s="2" t="s">
        <v>11</v>
      </c>
      <c r="E40" s="2" t="s">
        <v>40</v>
      </c>
      <c r="F40" s="2" t="s">
        <v>40</v>
      </c>
      <c r="G40" s="5">
        <v>5</v>
      </c>
      <c r="H40" s="6">
        <v>111</v>
      </c>
      <c r="I40" s="5">
        <v>555</v>
      </c>
      <c r="J40" s="7">
        <v>145</v>
      </c>
      <c r="K40" s="4">
        <f t="shared" si="0"/>
        <v>725</v>
      </c>
      <c r="L40" s="6">
        <f t="shared" si="3"/>
        <v>34</v>
      </c>
      <c r="M40" s="5">
        <f t="shared" si="3"/>
        <v>170</v>
      </c>
      <c r="N40" s="3">
        <v>45831</v>
      </c>
      <c r="O40" s="3">
        <v>45837</v>
      </c>
    </row>
    <row r="41" spans="1:16" x14ac:dyDescent="0.2">
      <c r="A41" s="2" t="s">
        <v>72</v>
      </c>
      <c r="B41" s="2" t="s">
        <v>73</v>
      </c>
      <c r="C41" s="2" t="s">
        <v>71</v>
      </c>
      <c r="D41" s="2" t="s">
        <v>11</v>
      </c>
      <c r="E41" s="2" t="s">
        <v>41</v>
      </c>
      <c r="F41" s="2" t="s">
        <v>41</v>
      </c>
      <c r="G41" s="5">
        <v>20</v>
      </c>
      <c r="H41" s="6">
        <v>147</v>
      </c>
      <c r="I41" s="5">
        <v>2940</v>
      </c>
      <c r="J41" s="7">
        <v>0</v>
      </c>
      <c r="K41" s="4">
        <f t="shared" si="0"/>
        <v>0</v>
      </c>
      <c r="L41" s="6">
        <f t="shared" si="3"/>
        <v>-147</v>
      </c>
      <c r="M41" s="5">
        <f t="shared" si="3"/>
        <v>-2940</v>
      </c>
      <c r="N41" s="3">
        <v>45831</v>
      </c>
      <c r="O41" s="3">
        <v>45837</v>
      </c>
    </row>
    <row r="42" spans="1:16" x14ac:dyDescent="0.2">
      <c r="A42" s="2" t="s">
        <v>72</v>
      </c>
      <c r="B42" s="2" t="s">
        <v>73</v>
      </c>
      <c r="C42" s="2" t="s">
        <v>71</v>
      </c>
      <c r="D42" s="2" t="s">
        <v>11</v>
      </c>
      <c r="E42" s="2" t="s">
        <v>42</v>
      </c>
      <c r="F42" s="2" t="s">
        <v>42</v>
      </c>
      <c r="G42" s="5">
        <v>10</v>
      </c>
      <c r="H42" s="6">
        <v>247</v>
      </c>
      <c r="I42" s="5">
        <v>2470</v>
      </c>
      <c r="J42" s="7">
        <v>0</v>
      </c>
      <c r="K42" s="4">
        <f t="shared" si="0"/>
        <v>0</v>
      </c>
      <c r="L42" s="6">
        <f t="shared" si="3"/>
        <v>-247</v>
      </c>
      <c r="M42" s="5">
        <f t="shared" si="3"/>
        <v>-2470</v>
      </c>
      <c r="N42" s="3">
        <v>45831</v>
      </c>
      <c r="O42" s="3">
        <v>45837</v>
      </c>
    </row>
    <row r="43" spans="1:16" x14ac:dyDescent="0.2">
      <c r="A43" s="2" t="s">
        <v>72</v>
      </c>
      <c r="B43" s="2" t="s">
        <v>73</v>
      </c>
      <c r="C43" s="2" t="s">
        <v>71</v>
      </c>
      <c r="D43" s="2" t="s">
        <v>11</v>
      </c>
      <c r="E43" s="2" t="s">
        <v>43</v>
      </c>
      <c r="F43" s="2" t="s">
        <v>43</v>
      </c>
      <c r="G43" s="5">
        <v>10</v>
      </c>
      <c r="H43" s="6">
        <v>211</v>
      </c>
      <c r="I43" s="5">
        <v>2110</v>
      </c>
      <c r="J43" s="7">
        <v>0</v>
      </c>
      <c r="K43" s="4">
        <f t="shared" si="0"/>
        <v>0</v>
      </c>
      <c r="L43" s="6">
        <f t="shared" si="3"/>
        <v>-211</v>
      </c>
      <c r="M43" s="5">
        <f t="shared" si="3"/>
        <v>-2110</v>
      </c>
      <c r="N43" s="3">
        <v>45831</v>
      </c>
      <c r="O43" s="3">
        <v>45837</v>
      </c>
    </row>
    <row r="44" spans="1:16" x14ac:dyDescent="0.2">
      <c r="A44" s="2" t="s">
        <v>72</v>
      </c>
      <c r="B44" s="2" t="s">
        <v>73</v>
      </c>
      <c r="C44" s="2" t="s">
        <v>71</v>
      </c>
      <c r="D44" s="2" t="s">
        <v>11</v>
      </c>
      <c r="E44" s="2" t="s">
        <v>33</v>
      </c>
      <c r="F44" s="2" t="s">
        <v>33</v>
      </c>
      <c r="G44" s="5">
        <v>10</v>
      </c>
      <c r="H44" s="6">
        <v>19</v>
      </c>
      <c r="I44" s="5">
        <v>190</v>
      </c>
      <c r="J44" s="7">
        <v>0</v>
      </c>
      <c r="K44" s="4">
        <f t="shared" si="0"/>
        <v>0</v>
      </c>
      <c r="L44" s="6">
        <f t="shared" si="3"/>
        <v>-19</v>
      </c>
      <c r="M44" s="5">
        <f t="shared" si="3"/>
        <v>-190</v>
      </c>
      <c r="N44" s="3">
        <v>45831</v>
      </c>
      <c r="O44" s="3">
        <v>45837</v>
      </c>
    </row>
    <row r="45" spans="1:16" x14ac:dyDescent="0.2">
      <c r="A45" s="2" t="s">
        <v>72</v>
      </c>
      <c r="B45" s="2" t="s">
        <v>73</v>
      </c>
      <c r="C45" s="2" t="s">
        <v>71</v>
      </c>
      <c r="D45" s="2" t="s">
        <v>11</v>
      </c>
      <c r="E45" s="2" t="s">
        <v>34</v>
      </c>
      <c r="F45" s="2" t="s">
        <v>34</v>
      </c>
      <c r="G45" s="5">
        <v>10</v>
      </c>
      <c r="H45" s="6">
        <v>63</v>
      </c>
      <c r="I45" s="5">
        <v>630</v>
      </c>
      <c r="J45" s="7">
        <v>0</v>
      </c>
      <c r="K45" s="4">
        <f t="shared" si="0"/>
        <v>0</v>
      </c>
      <c r="L45" s="6">
        <f t="shared" si="3"/>
        <v>-63</v>
      </c>
      <c r="M45" s="5">
        <f t="shared" si="3"/>
        <v>-630</v>
      </c>
      <c r="N45" s="3">
        <v>45831</v>
      </c>
      <c r="O45" s="3">
        <v>45837</v>
      </c>
    </row>
    <row r="46" spans="1:16" x14ac:dyDescent="0.2">
      <c r="A46" s="2" t="s">
        <v>72</v>
      </c>
      <c r="B46" s="2" t="s">
        <v>73</v>
      </c>
      <c r="C46" s="2" t="s">
        <v>71</v>
      </c>
      <c r="D46" s="2" t="s">
        <v>11</v>
      </c>
      <c r="E46" s="2" t="s">
        <v>8</v>
      </c>
      <c r="F46" s="2" t="s">
        <v>8</v>
      </c>
      <c r="G46" s="5">
        <v>30</v>
      </c>
      <c r="H46" s="6">
        <v>102</v>
      </c>
      <c r="I46" s="5">
        <v>3060</v>
      </c>
      <c r="J46" s="7">
        <v>150</v>
      </c>
      <c r="K46" s="4">
        <f t="shared" si="0"/>
        <v>4500</v>
      </c>
      <c r="L46" s="6">
        <f t="shared" si="3"/>
        <v>48</v>
      </c>
      <c r="M46" s="5">
        <f t="shared" si="3"/>
        <v>1440</v>
      </c>
      <c r="N46" s="3">
        <v>45831</v>
      </c>
      <c r="O46" s="3">
        <v>45837</v>
      </c>
    </row>
    <row r="47" spans="1:16" x14ac:dyDescent="0.2">
      <c r="A47" s="2" t="s">
        <v>72</v>
      </c>
      <c r="B47" s="2" t="s">
        <v>73</v>
      </c>
      <c r="C47" s="2" t="s">
        <v>71</v>
      </c>
      <c r="D47" s="2" t="s">
        <v>11</v>
      </c>
      <c r="E47" s="2" t="s">
        <v>9</v>
      </c>
      <c r="F47" s="2" t="s">
        <v>9</v>
      </c>
      <c r="G47" s="5">
        <v>30</v>
      </c>
      <c r="H47" s="6">
        <v>43</v>
      </c>
      <c r="I47" s="5">
        <v>1290</v>
      </c>
      <c r="J47" s="7">
        <v>20</v>
      </c>
      <c r="K47" s="4">
        <f t="shared" si="0"/>
        <v>600</v>
      </c>
      <c r="L47" s="6">
        <f t="shared" si="3"/>
        <v>-23</v>
      </c>
      <c r="M47" s="5">
        <f t="shared" si="3"/>
        <v>-690</v>
      </c>
      <c r="N47" s="3">
        <v>45831</v>
      </c>
      <c r="O47" s="3">
        <v>45837</v>
      </c>
      <c r="P47">
        <v>20</v>
      </c>
    </row>
    <row r="48" spans="1:16" x14ac:dyDescent="0.2">
      <c r="A48" s="2" t="s">
        <v>72</v>
      </c>
      <c r="B48" s="2" t="s">
        <v>73</v>
      </c>
      <c r="C48" s="2" t="s">
        <v>71</v>
      </c>
      <c r="D48" s="2" t="s">
        <v>11</v>
      </c>
      <c r="E48" s="2" t="s">
        <v>44</v>
      </c>
      <c r="F48" s="2" t="s">
        <v>44</v>
      </c>
      <c r="G48" s="5">
        <v>30</v>
      </c>
      <c r="H48" s="6">
        <v>38</v>
      </c>
      <c r="I48" s="5">
        <v>1140</v>
      </c>
      <c r="J48" s="7">
        <v>125</v>
      </c>
      <c r="K48" s="4">
        <f t="shared" si="0"/>
        <v>3750</v>
      </c>
      <c r="L48" s="6">
        <f t="shared" si="3"/>
        <v>87</v>
      </c>
      <c r="M48" s="5">
        <f t="shared" si="3"/>
        <v>2610</v>
      </c>
      <c r="N48" s="3">
        <v>45831</v>
      </c>
      <c r="O48" s="3">
        <v>45837</v>
      </c>
      <c r="P48">
        <v>25</v>
      </c>
    </row>
    <row r="49" spans="1:16" x14ac:dyDescent="0.2">
      <c r="A49" s="2" t="s">
        <v>72</v>
      </c>
      <c r="B49" s="2" t="s">
        <v>73</v>
      </c>
      <c r="C49" s="2" t="s">
        <v>71</v>
      </c>
      <c r="D49" s="2" t="s">
        <v>11</v>
      </c>
      <c r="E49" s="2" t="s">
        <v>10</v>
      </c>
      <c r="F49" s="2" t="s">
        <v>10</v>
      </c>
      <c r="G49" s="5">
        <v>30</v>
      </c>
      <c r="H49" s="6">
        <v>168</v>
      </c>
      <c r="I49" s="5">
        <v>5040</v>
      </c>
      <c r="J49" s="7">
        <v>798</v>
      </c>
      <c r="K49" s="4">
        <f t="shared" si="0"/>
        <v>23940</v>
      </c>
      <c r="L49" s="6">
        <f t="shared" si="3"/>
        <v>630</v>
      </c>
      <c r="M49" s="5">
        <f t="shared" si="3"/>
        <v>18900</v>
      </c>
      <c r="N49" s="3">
        <v>45831</v>
      </c>
      <c r="O49" s="3">
        <v>45837</v>
      </c>
      <c r="P49">
        <v>251</v>
      </c>
    </row>
    <row r="50" spans="1:16" x14ac:dyDescent="0.2">
      <c r="A50" s="2" t="s">
        <v>72</v>
      </c>
      <c r="B50" s="2" t="s">
        <v>73</v>
      </c>
      <c r="C50" s="2" t="s">
        <v>71</v>
      </c>
      <c r="D50" s="2" t="s">
        <v>11</v>
      </c>
      <c r="E50" s="2" t="s">
        <v>35</v>
      </c>
      <c r="F50" s="2" t="s">
        <v>36</v>
      </c>
      <c r="G50" s="5">
        <v>7</v>
      </c>
      <c r="H50" s="6">
        <v>44</v>
      </c>
      <c r="I50" s="5">
        <v>308</v>
      </c>
      <c r="J50" s="7">
        <v>0</v>
      </c>
      <c r="K50" s="4">
        <f t="shared" si="0"/>
        <v>0</v>
      </c>
      <c r="L50" s="6">
        <f t="shared" si="3"/>
        <v>-44</v>
      </c>
      <c r="M50" s="5">
        <f t="shared" si="3"/>
        <v>-308</v>
      </c>
      <c r="N50" s="3">
        <v>45831</v>
      </c>
      <c r="O50" s="3">
        <v>45837</v>
      </c>
    </row>
    <row r="51" spans="1:16" x14ac:dyDescent="0.2">
      <c r="A51" s="2" t="s">
        <v>72</v>
      </c>
      <c r="B51" s="2" t="s">
        <v>73</v>
      </c>
      <c r="C51" s="2" t="s">
        <v>71</v>
      </c>
      <c r="D51" s="2" t="s">
        <v>11</v>
      </c>
      <c r="E51" s="2" t="s">
        <v>37</v>
      </c>
      <c r="F51" s="2" t="s">
        <v>38</v>
      </c>
      <c r="G51" s="5">
        <v>7</v>
      </c>
      <c r="H51" s="6">
        <v>44</v>
      </c>
      <c r="I51" s="5">
        <v>308</v>
      </c>
      <c r="J51" s="7">
        <v>0</v>
      </c>
      <c r="K51" s="4">
        <f t="shared" si="0"/>
        <v>0</v>
      </c>
      <c r="L51" s="6">
        <f t="shared" si="3"/>
        <v>-44</v>
      </c>
      <c r="M51" s="5">
        <f t="shared" si="3"/>
        <v>-308</v>
      </c>
      <c r="N51" s="3">
        <v>45831</v>
      </c>
      <c r="O51" s="3">
        <v>45837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3C-9037-4D67-9B87-0209F1B4E4C3}">
  <dimension ref="A1:O51"/>
  <sheetViews>
    <sheetView showGridLines="0" zoomScale="85" zoomScaleNormal="85" workbookViewId="0">
      <pane ySplit="1" topLeftCell="A2" activePane="bottomLeft" state="frozen"/>
      <selection pane="bottomLeft" activeCell="L2" sqref="L2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54</v>
      </c>
      <c r="F2" s="2" t="s">
        <v>54</v>
      </c>
      <c r="G2" s="5">
        <v>30</v>
      </c>
      <c r="H2" s="6">
        <v>161</v>
      </c>
      <c r="I2" s="5">
        <v>4830</v>
      </c>
      <c r="J2" s="7">
        <v>160</v>
      </c>
      <c r="K2" s="4">
        <f t="shared" ref="K2:K51" si="0">J2*G2</f>
        <v>4800</v>
      </c>
      <c r="L2" s="6">
        <f t="shared" ref="L2:M22" si="1">J2-H2</f>
        <v>-1</v>
      </c>
      <c r="M2" s="5">
        <f t="shared" si="1"/>
        <v>-30</v>
      </c>
      <c r="N2" s="3">
        <v>45817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12</v>
      </c>
      <c r="F3" s="2" t="s">
        <v>13</v>
      </c>
      <c r="G3" s="5">
        <v>30</v>
      </c>
      <c r="H3" s="6">
        <v>385</v>
      </c>
      <c r="I3" s="5">
        <v>11550</v>
      </c>
      <c r="J3" s="7">
        <v>384</v>
      </c>
      <c r="K3" s="4">
        <f t="shared" si="0"/>
        <v>11520</v>
      </c>
      <c r="L3" s="6">
        <f t="shared" si="1"/>
        <v>-1</v>
      </c>
      <c r="M3" s="5">
        <f t="shared" si="1"/>
        <v>-30</v>
      </c>
      <c r="N3" s="3">
        <v>45817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57</v>
      </c>
      <c r="F4" s="2" t="s">
        <v>13</v>
      </c>
      <c r="G4" s="5">
        <v>30</v>
      </c>
      <c r="H4" s="6">
        <v>3</v>
      </c>
      <c r="I4" s="5">
        <v>90</v>
      </c>
      <c r="J4" s="7">
        <v>3</v>
      </c>
      <c r="K4" s="4">
        <f t="shared" si="0"/>
        <v>90</v>
      </c>
      <c r="L4" s="6">
        <f t="shared" si="1"/>
        <v>0</v>
      </c>
      <c r="M4" s="5">
        <f t="shared" si="1"/>
        <v>0</v>
      </c>
      <c r="N4" s="3">
        <v>45817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14</v>
      </c>
      <c r="F5" s="2" t="s">
        <v>15</v>
      </c>
      <c r="G5" s="5">
        <v>30</v>
      </c>
      <c r="H5" s="6">
        <v>348</v>
      </c>
      <c r="I5" s="5">
        <v>10440</v>
      </c>
      <c r="J5" s="7">
        <v>345</v>
      </c>
      <c r="K5" s="4">
        <f t="shared" si="0"/>
        <v>10350</v>
      </c>
      <c r="L5" s="6">
        <f t="shared" si="1"/>
        <v>-3</v>
      </c>
      <c r="M5" s="5">
        <f t="shared" si="1"/>
        <v>-90</v>
      </c>
      <c r="N5" s="3">
        <v>45817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58</v>
      </c>
      <c r="F6" s="2" t="s">
        <v>15</v>
      </c>
      <c r="G6" s="5">
        <v>30</v>
      </c>
      <c r="H6" s="6">
        <v>3</v>
      </c>
      <c r="I6" s="5">
        <v>90</v>
      </c>
      <c r="J6" s="7">
        <v>3</v>
      </c>
      <c r="K6" s="4">
        <f t="shared" si="0"/>
        <v>90</v>
      </c>
      <c r="L6" s="6">
        <f t="shared" si="1"/>
        <v>0</v>
      </c>
      <c r="M6" s="5">
        <f t="shared" si="1"/>
        <v>0</v>
      </c>
      <c r="N6" s="3">
        <v>45817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16</v>
      </c>
      <c r="F7" s="2" t="s">
        <v>17</v>
      </c>
      <c r="G7" s="5">
        <v>30</v>
      </c>
      <c r="H7" s="6">
        <v>347</v>
      </c>
      <c r="I7" s="5">
        <v>10410</v>
      </c>
      <c r="J7" s="7">
        <v>345</v>
      </c>
      <c r="K7" s="4">
        <f t="shared" si="0"/>
        <v>10350</v>
      </c>
      <c r="L7" s="6">
        <f t="shared" si="1"/>
        <v>-2</v>
      </c>
      <c r="M7" s="5">
        <f t="shared" si="1"/>
        <v>-60</v>
      </c>
      <c r="N7" s="3">
        <v>45817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53</v>
      </c>
      <c r="F8" s="2" t="s">
        <v>17</v>
      </c>
      <c r="G8" s="5">
        <v>30</v>
      </c>
      <c r="H8" s="6">
        <v>3</v>
      </c>
      <c r="I8" s="5">
        <v>90</v>
      </c>
      <c r="J8" s="7">
        <v>3</v>
      </c>
      <c r="K8" s="4">
        <f t="shared" si="0"/>
        <v>90</v>
      </c>
      <c r="L8" s="6">
        <f t="shared" si="1"/>
        <v>0</v>
      </c>
      <c r="M8" s="5">
        <f t="shared" si="1"/>
        <v>0</v>
      </c>
      <c r="N8" s="3">
        <v>45817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18</v>
      </c>
      <c r="F9" s="2" t="s">
        <v>19</v>
      </c>
      <c r="G9" s="5">
        <v>30</v>
      </c>
      <c r="H9" s="6">
        <v>135</v>
      </c>
      <c r="I9" s="5">
        <v>4050</v>
      </c>
      <c r="J9" s="7">
        <v>135</v>
      </c>
      <c r="K9" s="4">
        <f t="shared" si="0"/>
        <v>4050</v>
      </c>
      <c r="L9" s="6">
        <f t="shared" si="1"/>
        <v>0</v>
      </c>
      <c r="M9" s="5">
        <f t="shared" si="1"/>
        <v>0</v>
      </c>
      <c r="N9" s="3">
        <v>45817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20</v>
      </c>
      <c r="F10" s="2" t="s">
        <v>21</v>
      </c>
      <c r="G10" s="5">
        <v>30</v>
      </c>
      <c r="H10" s="6">
        <v>128</v>
      </c>
      <c r="I10" s="5">
        <v>3840</v>
      </c>
      <c r="J10" s="7">
        <v>128</v>
      </c>
      <c r="K10" s="4">
        <f t="shared" si="0"/>
        <v>3840</v>
      </c>
      <c r="L10" s="6">
        <f t="shared" si="1"/>
        <v>0</v>
      </c>
      <c r="M10" s="5">
        <f t="shared" si="1"/>
        <v>0</v>
      </c>
      <c r="N10" s="3">
        <v>45817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22</v>
      </c>
      <c r="F11" s="2" t="s">
        <v>23</v>
      </c>
      <c r="G11" s="5">
        <v>30</v>
      </c>
      <c r="H11" s="6">
        <v>174</v>
      </c>
      <c r="I11" s="5">
        <v>5220</v>
      </c>
      <c r="J11" s="7">
        <v>173</v>
      </c>
      <c r="K11" s="4">
        <f t="shared" si="0"/>
        <v>5190</v>
      </c>
      <c r="L11" s="6">
        <f t="shared" si="1"/>
        <v>-1</v>
      </c>
      <c r="M11" s="5">
        <f t="shared" si="1"/>
        <v>-30</v>
      </c>
      <c r="N11" s="3">
        <v>45817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24</v>
      </c>
      <c r="F12" s="2" t="s">
        <v>25</v>
      </c>
      <c r="G12" s="5">
        <v>30</v>
      </c>
      <c r="H12" s="6">
        <v>162</v>
      </c>
      <c r="I12" s="5">
        <v>4860</v>
      </c>
      <c r="J12" s="7">
        <v>160</v>
      </c>
      <c r="K12" s="4">
        <f t="shared" si="0"/>
        <v>4800</v>
      </c>
      <c r="L12" s="6">
        <f t="shared" si="1"/>
        <v>-2</v>
      </c>
      <c r="M12" s="5">
        <f t="shared" si="1"/>
        <v>-60</v>
      </c>
      <c r="N12" s="3">
        <v>45817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59</v>
      </c>
      <c r="F13" s="2" t="s">
        <v>25</v>
      </c>
      <c r="G13" s="5">
        <v>30</v>
      </c>
      <c r="H13" s="6">
        <v>3</v>
      </c>
      <c r="I13" s="5">
        <v>90</v>
      </c>
      <c r="J13" s="7">
        <v>3</v>
      </c>
      <c r="K13" s="4">
        <f t="shared" si="0"/>
        <v>90</v>
      </c>
      <c r="L13" s="6">
        <f t="shared" si="1"/>
        <v>0</v>
      </c>
      <c r="M13" s="5">
        <f t="shared" si="1"/>
        <v>0</v>
      </c>
      <c r="N13" s="3">
        <v>45817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26</v>
      </c>
      <c r="F14" s="2" t="s">
        <v>27</v>
      </c>
      <c r="G14" s="5">
        <v>30</v>
      </c>
      <c r="H14" s="6">
        <v>203</v>
      </c>
      <c r="I14" s="5">
        <v>6090</v>
      </c>
      <c r="J14" s="7">
        <v>200</v>
      </c>
      <c r="K14" s="4">
        <f t="shared" si="0"/>
        <v>6000</v>
      </c>
      <c r="L14" s="6">
        <f t="shared" si="1"/>
        <v>-3</v>
      </c>
      <c r="M14" s="5">
        <f t="shared" si="1"/>
        <v>-90</v>
      </c>
      <c r="N14" s="3">
        <v>45817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60</v>
      </c>
      <c r="F15" s="2" t="s">
        <v>27</v>
      </c>
      <c r="G15" s="5">
        <v>30</v>
      </c>
      <c r="H15" s="6">
        <v>3</v>
      </c>
      <c r="I15" s="5">
        <v>90</v>
      </c>
      <c r="J15" s="7">
        <v>3</v>
      </c>
      <c r="K15" s="4">
        <f t="shared" si="0"/>
        <v>90</v>
      </c>
      <c r="L15" s="6">
        <f t="shared" si="1"/>
        <v>0</v>
      </c>
      <c r="M15" s="5">
        <f t="shared" si="1"/>
        <v>0</v>
      </c>
      <c r="N15" s="3">
        <v>45817</v>
      </c>
      <c r="O15" s="3">
        <v>45837</v>
      </c>
    </row>
    <row r="16" spans="1:15" x14ac:dyDescent="0.2">
      <c r="A16" s="2" t="s">
        <v>63</v>
      </c>
      <c r="B16" s="2" t="s">
        <v>64</v>
      </c>
      <c r="C16" s="2" t="s">
        <v>62</v>
      </c>
      <c r="D16" s="2" t="s">
        <v>11</v>
      </c>
      <c r="E16" s="2" t="s">
        <v>28</v>
      </c>
      <c r="F16" s="2" t="s">
        <v>29</v>
      </c>
      <c r="G16" s="5">
        <v>30</v>
      </c>
      <c r="H16" s="6">
        <v>201</v>
      </c>
      <c r="I16" s="5">
        <v>6030</v>
      </c>
      <c r="J16" s="7">
        <v>200</v>
      </c>
      <c r="K16" s="4">
        <f t="shared" si="0"/>
        <v>6000</v>
      </c>
      <c r="L16" s="6">
        <f t="shared" si="1"/>
        <v>-1</v>
      </c>
      <c r="M16" s="5">
        <f t="shared" si="1"/>
        <v>-30</v>
      </c>
      <c r="N16" s="3">
        <v>45817</v>
      </c>
      <c r="O16" s="3">
        <v>45837</v>
      </c>
    </row>
    <row r="17" spans="1:15" x14ac:dyDescent="0.2">
      <c r="A17" s="2" t="s">
        <v>63</v>
      </c>
      <c r="B17" s="2" t="s">
        <v>64</v>
      </c>
      <c r="C17" s="2" t="s">
        <v>62</v>
      </c>
      <c r="D17" s="2" t="s">
        <v>11</v>
      </c>
      <c r="E17" s="2" t="s">
        <v>61</v>
      </c>
      <c r="F17" s="2" t="s">
        <v>29</v>
      </c>
      <c r="G17" s="5">
        <v>30</v>
      </c>
      <c r="H17" s="6">
        <v>3</v>
      </c>
      <c r="I17" s="5">
        <v>90</v>
      </c>
      <c r="J17" s="7">
        <v>3</v>
      </c>
      <c r="K17" s="4">
        <f t="shared" si="0"/>
        <v>90</v>
      </c>
      <c r="L17" s="6">
        <f t="shared" si="1"/>
        <v>0</v>
      </c>
      <c r="M17" s="5">
        <f t="shared" si="1"/>
        <v>0</v>
      </c>
      <c r="N17" s="3">
        <v>45817</v>
      </c>
      <c r="O17" s="3">
        <v>45837</v>
      </c>
    </row>
    <row r="18" spans="1:15" x14ac:dyDescent="0.2">
      <c r="A18" s="2" t="s">
        <v>63</v>
      </c>
      <c r="B18" s="2" t="s">
        <v>64</v>
      </c>
      <c r="C18" s="2" t="s">
        <v>62</v>
      </c>
      <c r="D18" s="2" t="s">
        <v>11</v>
      </c>
      <c r="E18" s="2" t="s">
        <v>30</v>
      </c>
      <c r="F18" s="2" t="s">
        <v>31</v>
      </c>
      <c r="G18" s="5">
        <v>30</v>
      </c>
      <c r="H18" s="6">
        <v>93</v>
      </c>
      <c r="I18" s="5">
        <v>2790</v>
      </c>
      <c r="J18" s="7">
        <v>90</v>
      </c>
      <c r="K18" s="4">
        <f t="shared" si="0"/>
        <v>2700</v>
      </c>
      <c r="L18" s="6">
        <f t="shared" si="1"/>
        <v>-3</v>
      </c>
      <c r="M18" s="5">
        <f t="shared" si="1"/>
        <v>-90</v>
      </c>
      <c r="N18" s="3">
        <v>45817</v>
      </c>
      <c r="O18" s="3">
        <v>45837</v>
      </c>
    </row>
    <row r="19" spans="1:15" x14ac:dyDescent="0.2">
      <c r="A19" s="2" t="s">
        <v>63</v>
      </c>
      <c r="B19" s="2" t="s">
        <v>64</v>
      </c>
      <c r="C19" s="2" t="s">
        <v>62</v>
      </c>
      <c r="D19" s="2" t="s">
        <v>11</v>
      </c>
      <c r="E19" s="2" t="s">
        <v>45</v>
      </c>
      <c r="F19" s="2" t="s">
        <v>46</v>
      </c>
      <c r="G19" s="5">
        <v>30</v>
      </c>
      <c r="H19" s="6">
        <v>116</v>
      </c>
      <c r="I19" s="5">
        <v>3480</v>
      </c>
      <c r="J19" s="7">
        <v>116</v>
      </c>
      <c r="K19" s="4">
        <f t="shared" si="0"/>
        <v>3480</v>
      </c>
      <c r="L19" s="6">
        <f t="shared" si="1"/>
        <v>0</v>
      </c>
      <c r="M19" s="5">
        <f t="shared" si="1"/>
        <v>0</v>
      </c>
      <c r="N19" s="3">
        <v>45817</v>
      </c>
      <c r="O19" s="3">
        <v>45837</v>
      </c>
    </row>
    <row r="20" spans="1:15" x14ac:dyDescent="0.2">
      <c r="A20" s="2" t="s">
        <v>63</v>
      </c>
      <c r="B20" s="2" t="s">
        <v>64</v>
      </c>
      <c r="C20" s="2" t="s">
        <v>62</v>
      </c>
      <c r="D20" s="2" t="s">
        <v>11</v>
      </c>
      <c r="E20" s="2" t="s">
        <v>47</v>
      </c>
      <c r="F20" s="2" t="s">
        <v>48</v>
      </c>
      <c r="G20" s="5">
        <v>30</v>
      </c>
      <c r="H20" s="6">
        <v>185</v>
      </c>
      <c r="I20" s="5">
        <v>5550</v>
      </c>
      <c r="J20" s="7">
        <v>184</v>
      </c>
      <c r="K20" s="4">
        <f t="shared" si="0"/>
        <v>5520</v>
      </c>
      <c r="L20" s="6">
        <f t="shared" si="1"/>
        <v>-1</v>
      </c>
      <c r="M20" s="5">
        <f t="shared" si="1"/>
        <v>-30</v>
      </c>
      <c r="N20" s="3">
        <v>45817</v>
      </c>
      <c r="O20" s="3">
        <v>45837</v>
      </c>
    </row>
    <row r="21" spans="1:15" x14ac:dyDescent="0.2">
      <c r="A21" s="2" t="s">
        <v>63</v>
      </c>
      <c r="B21" s="2" t="s">
        <v>64</v>
      </c>
      <c r="C21" s="2" t="s">
        <v>62</v>
      </c>
      <c r="D21" s="2" t="s">
        <v>11</v>
      </c>
      <c r="E21" s="2" t="s">
        <v>49</v>
      </c>
      <c r="F21" s="2" t="s">
        <v>50</v>
      </c>
      <c r="G21" s="5">
        <v>30</v>
      </c>
      <c r="H21" s="6">
        <v>131</v>
      </c>
      <c r="I21" s="5">
        <v>3930</v>
      </c>
      <c r="J21" s="7">
        <v>130</v>
      </c>
      <c r="K21" s="4">
        <f t="shared" si="0"/>
        <v>3900</v>
      </c>
      <c r="L21" s="6">
        <f t="shared" si="1"/>
        <v>-1</v>
      </c>
      <c r="M21" s="5">
        <f t="shared" si="1"/>
        <v>-30</v>
      </c>
      <c r="N21" s="3">
        <v>45817</v>
      </c>
      <c r="O21" s="3">
        <v>45837</v>
      </c>
    </row>
    <row r="22" spans="1:15" x14ac:dyDescent="0.2">
      <c r="A22" s="2" t="s">
        <v>63</v>
      </c>
      <c r="B22" s="2" t="s">
        <v>64</v>
      </c>
      <c r="C22" s="2" t="s">
        <v>62</v>
      </c>
      <c r="D22" s="2" t="s">
        <v>11</v>
      </c>
      <c r="E22" s="2" t="s">
        <v>51</v>
      </c>
      <c r="F22" s="2" t="s">
        <v>52</v>
      </c>
      <c r="G22" s="5">
        <v>30</v>
      </c>
      <c r="H22" s="6">
        <v>135</v>
      </c>
      <c r="I22" s="5">
        <v>4050</v>
      </c>
      <c r="J22" s="7">
        <v>132</v>
      </c>
      <c r="K22" s="4">
        <f t="shared" si="0"/>
        <v>3960</v>
      </c>
      <c r="L22" s="6">
        <f t="shared" si="1"/>
        <v>-3</v>
      </c>
      <c r="M22" s="5">
        <f t="shared" si="1"/>
        <v>-90</v>
      </c>
      <c r="N22" s="3">
        <v>45817</v>
      </c>
      <c r="O22" s="3">
        <v>45837</v>
      </c>
    </row>
    <row r="23" spans="1:15" x14ac:dyDescent="0.2">
      <c r="A23" s="2" t="s">
        <v>66</v>
      </c>
      <c r="B23" s="2" t="s">
        <v>67</v>
      </c>
      <c r="C23" s="2" t="s">
        <v>65</v>
      </c>
      <c r="D23" s="2" t="s">
        <v>11</v>
      </c>
      <c r="E23" s="2" t="s">
        <v>55</v>
      </c>
      <c r="F23" s="2" t="s">
        <v>55</v>
      </c>
      <c r="G23" s="5">
        <v>15</v>
      </c>
      <c r="H23" s="6">
        <v>5</v>
      </c>
      <c r="I23" s="5">
        <v>75</v>
      </c>
      <c r="J23" s="7">
        <v>5</v>
      </c>
      <c r="K23" s="4">
        <f t="shared" si="0"/>
        <v>75</v>
      </c>
      <c r="L23" s="6">
        <f t="shared" ref="L23:M38" si="2">J23-H23</f>
        <v>0</v>
      </c>
      <c r="M23" s="5">
        <f t="shared" si="2"/>
        <v>0</v>
      </c>
      <c r="N23" s="3">
        <v>45817</v>
      </c>
      <c r="O23" s="3">
        <v>45837</v>
      </c>
    </row>
    <row r="24" spans="1:15" x14ac:dyDescent="0.2">
      <c r="A24" s="2" t="s">
        <v>66</v>
      </c>
      <c r="B24" s="2" t="s">
        <v>67</v>
      </c>
      <c r="C24" s="2" t="s">
        <v>65</v>
      </c>
      <c r="D24" s="2" t="s">
        <v>11</v>
      </c>
      <c r="E24" s="2" t="s">
        <v>56</v>
      </c>
      <c r="F24" s="2" t="s">
        <v>56</v>
      </c>
      <c r="G24" s="5">
        <v>15</v>
      </c>
      <c r="H24" s="6">
        <v>5</v>
      </c>
      <c r="I24" s="5">
        <v>75</v>
      </c>
      <c r="J24" s="7">
        <v>5</v>
      </c>
      <c r="K24" s="4">
        <f t="shared" si="0"/>
        <v>75</v>
      </c>
      <c r="L24" s="6">
        <f t="shared" si="2"/>
        <v>0</v>
      </c>
      <c r="M24" s="5">
        <f t="shared" si="2"/>
        <v>0</v>
      </c>
      <c r="N24" s="3">
        <v>45817</v>
      </c>
      <c r="O24" s="3">
        <v>45837</v>
      </c>
    </row>
    <row r="25" spans="1:15" x14ac:dyDescent="0.2">
      <c r="A25" s="2" t="s">
        <v>69</v>
      </c>
      <c r="B25" s="2" t="s">
        <v>70</v>
      </c>
      <c r="C25" s="2" t="s">
        <v>68</v>
      </c>
      <c r="D25" s="2" t="s">
        <v>11</v>
      </c>
      <c r="E25" s="2" t="s">
        <v>39</v>
      </c>
      <c r="F25" s="2" t="s">
        <v>39</v>
      </c>
      <c r="G25" s="5">
        <v>10</v>
      </c>
      <c r="H25" s="6">
        <v>1120</v>
      </c>
      <c r="I25" s="5">
        <v>11200</v>
      </c>
      <c r="J25" s="7">
        <v>2000</v>
      </c>
      <c r="K25" s="4">
        <f t="shared" si="0"/>
        <v>20000</v>
      </c>
      <c r="L25" s="6">
        <f t="shared" si="2"/>
        <v>880</v>
      </c>
      <c r="M25" s="5">
        <f t="shared" si="2"/>
        <v>8800</v>
      </c>
      <c r="N25" s="3">
        <v>45831</v>
      </c>
      <c r="O25" s="3">
        <v>45837</v>
      </c>
    </row>
    <row r="26" spans="1:15" x14ac:dyDescent="0.2">
      <c r="A26" s="2" t="s">
        <v>69</v>
      </c>
      <c r="B26" s="2" t="s">
        <v>70</v>
      </c>
      <c r="C26" s="2" t="s">
        <v>68</v>
      </c>
      <c r="D26" s="2" t="s">
        <v>11</v>
      </c>
      <c r="E26" s="2" t="s">
        <v>40</v>
      </c>
      <c r="F26" s="2" t="s">
        <v>40</v>
      </c>
      <c r="G26" s="5">
        <v>5</v>
      </c>
      <c r="H26" s="6">
        <v>280</v>
      </c>
      <c r="I26" s="5">
        <v>1400</v>
      </c>
      <c r="J26" s="7">
        <v>0</v>
      </c>
      <c r="K26" s="4">
        <f t="shared" si="0"/>
        <v>0</v>
      </c>
      <c r="L26" s="6">
        <f t="shared" si="2"/>
        <v>-280</v>
      </c>
      <c r="M26" s="5">
        <f t="shared" si="2"/>
        <v>-1400</v>
      </c>
      <c r="N26" s="3">
        <v>45831</v>
      </c>
      <c r="O26" s="3">
        <v>45837</v>
      </c>
    </row>
    <row r="27" spans="1:15" x14ac:dyDescent="0.2">
      <c r="A27" s="2" t="s">
        <v>69</v>
      </c>
      <c r="B27" s="2" t="s">
        <v>70</v>
      </c>
      <c r="C27" s="2" t="s">
        <v>68</v>
      </c>
      <c r="D27" s="2" t="s">
        <v>11</v>
      </c>
      <c r="E27" s="2" t="s">
        <v>41</v>
      </c>
      <c r="F27" s="2" t="s">
        <v>41</v>
      </c>
      <c r="G27" s="5">
        <v>20</v>
      </c>
      <c r="H27" s="6">
        <v>630</v>
      </c>
      <c r="I27" s="5">
        <v>12600</v>
      </c>
      <c r="J27" s="7">
        <v>130</v>
      </c>
      <c r="K27" s="4">
        <f t="shared" si="0"/>
        <v>2600</v>
      </c>
      <c r="L27" s="6">
        <f t="shared" si="2"/>
        <v>-500</v>
      </c>
      <c r="M27" s="5">
        <f t="shared" si="2"/>
        <v>-10000</v>
      </c>
      <c r="N27" s="3">
        <v>45831</v>
      </c>
      <c r="O27" s="3">
        <v>45837</v>
      </c>
    </row>
    <row r="28" spans="1:15" x14ac:dyDescent="0.2">
      <c r="A28" s="2" t="s">
        <v>69</v>
      </c>
      <c r="B28" s="2" t="s">
        <v>70</v>
      </c>
      <c r="C28" s="2" t="s">
        <v>68</v>
      </c>
      <c r="D28" s="2" t="s">
        <v>11</v>
      </c>
      <c r="E28" s="2" t="s">
        <v>42</v>
      </c>
      <c r="F28" s="2" t="s">
        <v>42</v>
      </c>
      <c r="G28" s="5">
        <v>10</v>
      </c>
      <c r="H28" s="6">
        <v>420</v>
      </c>
      <c r="I28" s="5">
        <v>4200</v>
      </c>
      <c r="J28" s="7">
        <v>200</v>
      </c>
      <c r="K28" s="4">
        <f t="shared" si="0"/>
        <v>2000</v>
      </c>
      <c r="L28" s="6">
        <f t="shared" si="2"/>
        <v>-220</v>
      </c>
      <c r="M28" s="5">
        <f t="shared" si="2"/>
        <v>-2200</v>
      </c>
      <c r="N28" s="3">
        <v>45831</v>
      </c>
      <c r="O28" s="3">
        <v>45837</v>
      </c>
    </row>
    <row r="29" spans="1:15" x14ac:dyDescent="0.2">
      <c r="A29" s="2" t="s">
        <v>69</v>
      </c>
      <c r="B29" s="2" t="s">
        <v>70</v>
      </c>
      <c r="C29" s="2" t="s">
        <v>68</v>
      </c>
      <c r="D29" s="2" t="s">
        <v>11</v>
      </c>
      <c r="E29" s="2" t="s">
        <v>43</v>
      </c>
      <c r="F29" s="2" t="s">
        <v>43</v>
      </c>
      <c r="G29" s="5">
        <v>10</v>
      </c>
      <c r="H29" s="6">
        <v>700</v>
      </c>
      <c r="I29" s="5">
        <v>7000</v>
      </c>
      <c r="J29" s="7">
        <v>450</v>
      </c>
      <c r="K29" s="4">
        <f t="shared" si="0"/>
        <v>4500</v>
      </c>
      <c r="L29" s="6">
        <f t="shared" si="2"/>
        <v>-250</v>
      </c>
      <c r="M29" s="5">
        <f t="shared" si="2"/>
        <v>-2500</v>
      </c>
      <c r="N29" s="3">
        <v>45831</v>
      </c>
      <c r="O29" s="3">
        <v>45837</v>
      </c>
    </row>
    <row r="30" spans="1:15" x14ac:dyDescent="0.2">
      <c r="A30" s="2" t="s">
        <v>69</v>
      </c>
      <c r="B30" s="2" t="s">
        <v>70</v>
      </c>
      <c r="C30" s="2" t="s">
        <v>68</v>
      </c>
      <c r="D30" s="2" t="s">
        <v>11</v>
      </c>
      <c r="E30" s="2" t="s">
        <v>33</v>
      </c>
      <c r="F30" s="2" t="s">
        <v>33</v>
      </c>
      <c r="G30" s="5">
        <v>10</v>
      </c>
      <c r="H30" s="6">
        <v>7</v>
      </c>
      <c r="I30" s="5">
        <v>70</v>
      </c>
      <c r="J30" s="7">
        <v>0</v>
      </c>
      <c r="K30" s="4">
        <f t="shared" si="0"/>
        <v>0</v>
      </c>
      <c r="L30" s="6">
        <f t="shared" si="2"/>
        <v>-7</v>
      </c>
      <c r="M30" s="5">
        <f t="shared" si="2"/>
        <v>-70</v>
      </c>
      <c r="N30" s="3">
        <v>45831</v>
      </c>
      <c r="O30" s="3">
        <v>45837</v>
      </c>
    </row>
    <row r="31" spans="1:15" x14ac:dyDescent="0.2">
      <c r="A31" s="2" t="s">
        <v>69</v>
      </c>
      <c r="B31" s="2" t="s">
        <v>70</v>
      </c>
      <c r="C31" s="2" t="s">
        <v>68</v>
      </c>
      <c r="D31" s="2" t="s">
        <v>11</v>
      </c>
      <c r="E31" s="2" t="s">
        <v>34</v>
      </c>
      <c r="F31" s="2" t="s">
        <v>34</v>
      </c>
      <c r="G31" s="5">
        <v>10</v>
      </c>
      <c r="H31" s="6">
        <v>7</v>
      </c>
      <c r="I31" s="5">
        <v>70</v>
      </c>
      <c r="J31" s="7">
        <v>0</v>
      </c>
      <c r="K31" s="4">
        <f t="shared" si="0"/>
        <v>0</v>
      </c>
      <c r="L31" s="6">
        <f t="shared" si="2"/>
        <v>-7</v>
      </c>
      <c r="M31" s="5">
        <f t="shared" si="2"/>
        <v>-70</v>
      </c>
      <c r="N31" s="3">
        <v>45831</v>
      </c>
      <c r="O31" s="3">
        <v>45837</v>
      </c>
    </row>
    <row r="32" spans="1:15" x14ac:dyDescent="0.2">
      <c r="A32" s="2" t="s">
        <v>69</v>
      </c>
      <c r="B32" s="2" t="s">
        <v>70</v>
      </c>
      <c r="C32" s="2" t="s">
        <v>68</v>
      </c>
      <c r="D32" s="2" t="s">
        <v>11</v>
      </c>
      <c r="E32" s="2" t="s">
        <v>8</v>
      </c>
      <c r="F32" s="2" t="s">
        <v>8</v>
      </c>
      <c r="G32" s="5">
        <v>30</v>
      </c>
      <c r="H32" s="6">
        <v>105</v>
      </c>
      <c r="I32" s="5">
        <v>3150</v>
      </c>
      <c r="J32" s="7">
        <v>40</v>
      </c>
      <c r="K32" s="4">
        <f t="shared" si="0"/>
        <v>1200</v>
      </c>
      <c r="L32" s="6">
        <f t="shared" si="2"/>
        <v>-65</v>
      </c>
      <c r="M32" s="5">
        <f t="shared" si="2"/>
        <v>-1950</v>
      </c>
      <c r="N32" s="3">
        <v>45831</v>
      </c>
      <c r="O32" s="3">
        <v>45837</v>
      </c>
    </row>
    <row r="33" spans="1:15" x14ac:dyDescent="0.2">
      <c r="A33" s="2" t="s">
        <v>69</v>
      </c>
      <c r="B33" s="2" t="s">
        <v>70</v>
      </c>
      <c r="C33" s="2" t="s">
        <v>68</v>
      </c>
      <c r="D33" s="2" t="s">
        <v>11</v>
      </c>
      <c r="E33" s="2" t="s">
        <v>9</v>
      </c>
      <c r="F33" s="2" t="s">
        <v>9</v>
      </c>
      <c r="G33" s="5">
        <v>30</v>
      </c>
      <c r="H33" s="6">
        <v>42</v>
      </c>
      <c r="I33" s="5">
        <v>1260</v>
      </c>
      <c r="J33" s="7">
        <v>0</v>
      </c>
      <c r="K33" s="4">
        <f t="shared" si="0"/>
        <v>0</v>
      </c>
      <c r="L33" s="6">
        <f t="shared" si="2"/>
        <v>-42</v>
      </c>
      <c r="M33" s="5">
        <f t="shared" si="2"/>
        <v>-1260</v>
      </c>
      <c r="N33" s="3">
        <v>45831</v>
      </c>
      <c r="O33" s="3">
        <v>45837</v>
      </c>
    </row>
    <row r="34" spans="1:15" x14ac:dyDescent="0.2">
      <c r="A34" s="2" t="s">
        <v>69</v>
      </c>
      <c r="B34" s="2" t="s">
        <v>70</v>
      </c>
      <c r="C34" s="2" t="s">
        <v>68</v>
      </c>
      <c r="D34" s="2" t="s">
        <v>11</v>
      </c>
      <c r="E34" s="2" t="s">
        <v>44</v>
      </c>
      <c r="F34" s="2" t="s">
        <v>44</v>
      </c>
      <c r="G34" s="5">
        <v>30</v>
      </c>
      <c r="H34" s="6">
        <v>42</v>
      </c>
      <c r="I34" s="5">
        <v>1260</v>
      </c>
      <c r="J34" s="7">
        <v>280</v>
      </c>
      <c r="K34" s="4">
        <f t="shared" si="0"/>
        <v>8400</v>
      </c>
      <c r="L34" s="6">
        <f t="shared" si="2"/>
        <v>238</v>
      </c>
      <c r="M34" s="5">
        <f t="shared" si="2"/>
        <v>7140</v>
      </c>
      <c r="N34" s="3">
        <v>45831</v>
      </c>
      <c r="O34" s="3">
        <v>45837</v>
      </c>
    </row>
    <row r="35" spans="1:15" x14ac:dyDescent="0.2">
      <c r="A35" s="2" t="s">
        <v>69</v>
      </c>
      <c r="B35" s="2" t="s">
        <v>70</v>
      </c>
      <c r="C35" s="2" t="s">
        <v>68</v>
      </c>
      <c r="D35" s="2" t="s">
        <v>11</v>
      </c>
      <c r="E35" s="2" t="s">
        <v>10</v>
      </c>
      <c r="F35" s="2" t="s">
        <v>10</v>
      </c>
      <c r="G35" s="5">
        <v>30</v>
      </c>
      <c r="H35" s="6">
        <v>140</v>
      </c>
      <c r="I35" s="5">
        <v>4200</v>
      </c>
      <c r="J35" s="7">
        <v>258</v>
      </c>
      <c r="K35" s="4">
        <f t="shared" si="0"/>
        <v>7740</v>
      </c>
      <c r="L35" s="6">
        <f t="shared" si="2"/>
        <v>118</v>
      </c>
      <c r="M35" s="5">
        <f t="shared" si="2"/>
        <v>3540</v>
      </c>
      <c r="N35" s="3">
        <v>45831</v>
      </c>
      <c r="O35" s="3">
        <v>45837</v>
      </c>
    </row>
    <row r="36" spans="1:15" x14ac:dyDescent="0.2">
      <c r="A36" s="2" t="s">
        <v>69</v>
      </c>
      <c r="B36" s="2" t="s">
        <v>70</v>
      </c>
      <c r="C36" s="2" t="s">
        <v>68</v>
      </c>
      <c r="D36" s="2" t="s">
        <v>11</v>
      </c>
      <c r="E36" s="2" t="s">
        <v>35</v>
      </c>
      <c r="F36" s="2" t="s">
        <v>36</v>
      </c>
      <c r="G36" s="5">
        <v>7</v>
      </c>
      <c r="H36" s="6">
        <v>4</v>
      </c>
      <c r="I36" s="5">
        <v>28</v>
      </c>
      <c r="J36" s="7">
        <v>0</v>
      </c>
      <c r="K36" s="4">
        <f t="shared" si="0"/>
        <v>0</v>
      </c>
      <c r="L36" s="6">
        <f t="shared" si="2"/>
        <v>-4</v>
      </c>
      <c r="M36" s="5">
        <f t="shared" si="2"/>
        <v>-28</v>
      </c>
      <c r="N36" s="3">
        <v>45831</v>
      </c>
      <c r="O36" s="3">
        <v>45837</v>
      </c>
    </row>
    <row r="37" spans="1:15" x14ac:dyDescent="0.2">
      <c r="A37" s="2" t="s">
        <v>69</v>
      </c>
      <c r="B37" s="2" t="s">
        <v>70</v>
      </c>
      <c r="C37" s="2" t="s">
        <v>68</v>
      </c>
      <c r="D37" s="2" t="s">
        <v>11</v>
      </c>
      <c r="E37" s="2" t="s">
        <v>37</v>
      </c>
      <c r="F37" s="2" t="s">
        <v>38</v>
      </c>
      <c r="G37" s="5">
        <v>7</v>
      </c>
      <c r="H37" s="6">
        <v>4</v>
      </c>
      <c r="I37" s="5">
        <v>28</v>
      </c>
      <c r="J37" s="7">
        <v>0</v>
      </c>
      <c r="K37" s="4">
        <f t="shared" si="0"/>
        <v>0</v>
      </c>
      <c r="L37" s="6">
        <f t="shared" si="2"/>
        <v>-4</v>
      </c>
      <c r="M37" s="5">
        <f t="shared" si="2"/>
        <v>-28</v>
      </c>
      <c r="N37" s="3">
        <v>45831</v>
      </c>
      <c r="O37" s="3">
        <v>45837</v>
      </c>
    </row>
    <row r="38" spans="1:15" x14ac:dyDescent="0.2">
      <c r="A38" s="2" t="s">
        <v>72</v>
      </c>
      <c r="B38" s="2" t="s">
        <v>73</v>
      </c>
      <c r="C38" s="2" t="s">
        <v>71</v>
      </c>
      <c r="D38" s="2" t="s">
        <v>11</v>
      </c>
      <c r="E38" s="2" t="s">
        <v>32</v>
      </c>
      <c r="F38" s="2" t="s">
        <v>32</v>
      </c>
      <c r="G38" s="5">
        <v>10</v>
      </c>
      <c r="H38" s="6">
        <v>744</v>
      </c>
      <c r="I38" s="5">
        <v>7440</v>
      </c>
      <c r="J38" s="7">
        <v>999</v>
      </c>
      <c r="K38" s="4">
        <f t="shared" si="0"/>
        <v>9990</v>
      </c>
      <c r="L38" s="6">
        <f t="shared" si="2"/>
        <v>255</v>
      </c>
      <c r="M38" s="5">
        <f t="shared" si="2"/>
        <v>2550</v>
      </c>
      <c r="N38" s="3">
        <v>45831</v>
      </c>
      <c r="O38" s="3">
        <v>45837</v>
      </c>
    </row>
    <row r="39" spans="1:15" x14ac:dyDescent="0.2">
      <c r="A39" s="2" t="s">
        <v>72</v>
      </c>
      <c r="B39" s="2" t="s">
        <v>73</v>
      </c>
      <c r="C39" s="2" t="s">
        <v>71</v>
      </c>
      <c r="D39" s="2" t="s">
        <v>11</v>
      </c>
      <c r="E39" s="2" t="s">
        <v>39</v>
      </c>
      <c r="F39" s="2" t="s">
        <v>39</v>
      </c>
      <c r="G39" s="5">
        <v>10</v>
      </c>
      <c r="H39" s="6">
        <v>462</v>
      </c>
      <c r="I39" s="5">
        <v>4620</v>
      </c>
      <c r="J39" s="7">
        <v>800</v>
      </c>
      <c r="K39" s="4">
        <f t="shared" si="0"/>
        <v>8000</v>
      </c>
      <c r="L39" s="6">
        <f t="shared" ref="L39:M51" si="3">J39-H39</f>
        <v>338</v>
      </c>
      <c r="M39" s="5">
        <f t="shared" si="3"/>
        <v>3380</v>
      </c>
      <c r="N39" s="3">
        <v>45831</v>
      </c>
      <c r="O39" s="3">
        <v>45837</v>
      </c>
    </row>
    <row r="40" spans="1:15" x14ac:dyDescent="0.2">
      <c r="A40" s="2" t="s">
        <v>72</v>
      </c>
      <c r="B40" s="2" t="s">
        <v>73</v>
      </c>
      <c r="C40" s="2" t="s">
        <v>71</v>
      </c>
      <c r="D40" s="2" t="s">
        <v>11</v>
      </c>
      <c r="E40" s="2" t="s">
        <v>40</v>
      </c>
      <c r="F40" s="2" t="s">
        <v>40</v>
      </c>
      <c r="G40" s="5">
        <v>5</v>
      </c>
      <c r="H40" s="6">
        <v>111</v>
      </c>
      <c r="I40" s="5">
        <v>555</v>
      </c>
      <c r="J40" s="7">
        <v>120</v>
      </c>
      <c r="K40" s="4">
        <f t="shared" si="0"/>
        <v>600</v>
      </c>
      <c r="L40" s="6">
        <f t="shared" si="3"/>
        <v>9</v>
      </c>
      <c r="M40" s="5">
        <f t="shared" si="3"/>
        <v>45</v>
      </c>
      <c r="N40" s="3">
        <v>45831</v>
      </c>
      <c r="O40" s="3">
        <v>45837</v>
      </c>
    </row>
    <row r="41" spans="1:15" x14ac:dyDescent="0.2">
      <c r="A41" s="2" t="s">
        <v>72</v>
      </c>
      <c r="B41" s="2" t="s">
        <v>73</v>
      </c>
      <c r="C41" s="2" t="s">
        <v>71</v>
      </c>
      <c r="D41" s="2" t="s">
        <v>11</v>
      </c>
      <c r="E41" s="2" t="s">
        <v>41</v>
      </c>
      <c r="F41" s="2" t="s">
        <v>41</v>
      </c>
      <c r="G41" s="5">
        <v>20</v>
      </c>
      <c r="H41" s="6">
        <v>147</v>
      </c>
      <c r="I41" s="5">
        <v>2940</v>
      </c>
      <c r="J41" s="7">
        <v>0</v>
      </c>
      <c r="K41" s="4">
        <f t="shared" si="0"/>
        <v>0</v>
      </c>
      <c r="L41" s="6">
        <f t="shared" si="3"/>
        <v>-147</v>
      </c>
      <c r="M41" s="5">
        <f t="shared" si="3"/>
        <v>-2940</v>
      </c>
      <c r="N41" s="3">
        <v>45831</v>
      </c>
      <c r="O41" s="3">
        <v>45837</v>
      </c>
    </row>
    <row r="42" spans="1:15" x14ac:dyDescent="0.2">
      <c r="A42" s="2" t="s">
        <v>72</v>
      </c>
      <c r="B42" s="2" t="s">
        <v>73</v>
      </c>
      <c r="C42" s="2" t="s">
        <v>71</v>
      </c>
      <c r="D42" s="2" t="s">
        <v>11</v>
      </c>
      <c r="E42" s="2" t="s">
        <v>42</v>
      </c>
      <c r="F42" s="2" t="s">
        <v>42</v>
      </c>
      <c r="G42" s="5">
        <v>10</v>
      </c>
      <c r="H42" s="6">
        <v>247</v>
      </c>
      <c r="I42" s="5">
        <v>2470</v>
      </c>
      <c r="J42" s="7">
        <v>0</v>
      </c>
      <c r="K42" s="4">
        <f t="shared" si="0"/>
        <v>0</v>
      </c>
      <c r="L42" s="6">
        <f t="shared" si="3"/>
        <v>-247</v>
      </c>
      <c r="M42" s="5">
        <f t="shared" si="3"/>
        <v>-2470</v>
      </c>
      <c r="N42" s="3">
        <v>45831</v>
      </c>
      <c r="O42" s="3">
        <v>45837</v>
      </c>
    </row>
    <row r="43" spans="1:15" x14ac:dyDescent="0.2">
      <c r="A43" s="2" t="s">
        <v>72</v>
      </c>
      <c r="B43" s="2" t="s">
        <v>73</v>
      </c>
      <c r="C43" s="2" t="s">
        <v>71</v>
      </c>
      <c r="D43" s="2" t="s">
        <v>11</v>
      </c>
      <c r="E43" s="2" t="s">
        <v>43</v>
      </c>
      <c r="F43" s="2" t="s">
        <v>43</v>
      </c>
      <c r="G43" s="5">
        <v>10</v>
      </c>
      <c r="H43" s="6">
        <v>211</v>
      </c>
      <c r="I43" s="5">
        <v>2110</v>
      </c>
      <c r="J43" s="7">
        <v>0</v>
      </c>
      <c r="K43" s="4">
        <f t="shared" si="0"/>
        <v>0</v>
      </c>
      <c r="L43" s="6">
        <f t="shared" si="3"/>
        <v>-211</v>
      </c>
      <c r="M43" s="5">
        <f t="shared" si="3"/>
        <v>-2110</v>
      </c>
      <c r="N43" s="3">
        <v>45831</v>
      </c>
      <c r="O43" s="3">
        <v>45837</v>
      </c>
    </row>
    <row r="44" spans="1:15" x14ac:dyDescent="0.2">
      <c r="A44" s="2" t="s">
        <v>72</v>
      </c>
      <c r="B44" s="2" t="s">
        <v>73</v>
      </c>
      <c r="C44" s="2" t="s">
        <v>71</v>
      </c>
      <c r="D44" s="2" t="s">
        <v>11</v>
      </c>
      <c r="E44" s="2" t="s">
        <v>33</v>
      </c>
      <c r="F44" s="2" t="s">
        <v>33</v>
      </c>
      <c r="G44" s="5">
        <v>10</v>
      </c>
      <c r="H44" s="6">
        <v>19</v>
      </c>
      <c r="I44" s="5">
        <v>190</v>
      </c>
      <c r="J44" s="7">
        <v>0</v>
      </c>
      <c r="K44" s="4">
        <f t="shared" si="0"/>
        <v>0</v>
      </c>
      <c r="L44" s="6">
        <f t="shared" si="3"/>
        <v>-19</v>
      </c>
      <c r="M44" s="5">
        <f t="shared" si="3"/>
        <v>-190</v>
      </c>
      <c r="N44" s="3">
        <v>45831</v>
      </c>
      <c r="O44" s="3">
        <v>45837</v>
      </c>
    </row>
    <row r="45" spans="1:15" x14ac:dyDescent="0.2">
      <c r="A45" s="2" t="s">
        <v>72</v>
      </c>
      <c r="B45" s="2" t="s">
        <v>73</v>
      </c>
      <c r="C45" s="2" t="s">
        <v>71</v>
      </c>
      <c r="D45" s="2" t="s">
        <v>11</v>
      </c>
      <c r="E45" s="2" t="s">
        <v>34</v>
      </c>
      <c r="F45" s="2" t="s">
        <v>34</v>
      </c>
      <c r="G45" s="5">
        <v>10</v>
      </c>
      <c r="H45" s="6">
        <v>63</v>
      </c>
      <c r="I45" s="5">
        <v>630</v>
      </c>
      <c r="J45" s="7">
        <v>0</v>
      </c>
      <c r="K45" s="4">
        <f t="shared" si="0"/>
        <v>0</v>
      </c>
      <c r="L45" s="6">
        <f t="shared" si="3"/>
        <v>-63</v>
      </c>
      <c r="M45" s="5">
        <f t="shared" si="3"/>
        <v>-630</v>
      </c>
      <c r="N45" s="3">
        <v>45831</v>
      </c>
      <c r="O45" s="3">
        <v>45837</v>
      </c>
    </row>
    <row r="46" spans="1:15" x14ac:dyDescent="0.2">
      <c r="A46" s="2" t="s">
        <v>72</v>
      </c>
      <c r="B46" s="2" t="s">
        <v>73</v>
      </c>
      <c r="C46" s="2" t="s">
        <v>71</v>
      </c>
      <c r="D46" s="2" t="s">
        <v>11</v>
      </c>
      <c r="E46" s="2" t="s">
        <v>8</v>
      </c>
      <c r="F46" s="2" t="s">
        <v>8</v>
      </c>
      <c r="G46" s="5">
        <v>30</v>
      </c>
      <c r="H46" s="6">
        <v>102</v>
      </c>
      <c r="I46" s="5">
        <v>3060</v>
      </c>
      <c r="J46" s="7">
        <v>150</v>
      </c>
      <c r="K46" s="4">
        <f t="shared" si="0"/>
        <v>4500</v>
      </c>
      <c r="L46" s="6">
        <f t="shared" si="3"/>
        <v>48</v>
      </c>
      <c r="M46" s="5">
        <f t="shared" si="3"/>
        <v>1440</v>
      </c>
      <c r="N46" s="3">
        <v>45831</v>
      </c>
      <c r="O46" s="3">
        <v>45837</v>
      </c>
    </row>
    <row r="47" spans="1:15" x14ac:dyDescent="0.2">
      <c r="A47" s="2" t="s">
        <v>72</v>
      </c>
      <c r="B47" s="2" t="s">
        <v>73</v>
      </c>
      <c r="C47" s="2" t="s">
        <v>71</v>
      </c>
      <c r="D47" s="2" t="s">
        <v>11</v>
      </c>
      <c r="E47" s="2" t="s">
        <v>9</v>
      </c>
      <c r="F47" s="2" t="s">
        <v>9</v>
      </c>
      <c r="G47" s="5">
        <v>30</v>
      </c>
      <c r="H47" s="6">
        <v>43</v>
      </c>
      <c r="I47" s="5">
        <v>1290</v>
      </c>
      <c r="J47" s="7">
        <v>0</v>
      </c>
      <c r="K47" s="4">
        <f t="shared" si="0"/>
        <v>0</v>
      </c>
      <c r="L47" s="6">
        <f t="shared" si="3"/>
        <v>-43</v>
      </c>
      <c r="M47" s="5">
        <f t="shared" si="3"/>
        <v>-1290</v>
      </c>
      <c r="N47" s="3">
        <v>45831</v>
      </c>
      <c r="O47" s="3">
        <v>45837</v>
      </c>
    </row>
    <row r="48" spans="1:15" x14ac:dyDescent="0.2">
      <c r="A48" s="2" t="s">
        <v>72</v>
      </c>
      <c r="B48" s="2" t="s">
        <v>73</v>
      </c>
      <c r="C48" s="2" t="s">
        <v>71</v>
      </c>
      <c r="D48" s="2" t="s">
        <v>11</v>
      </c>
      <c r="E48" s="2" t="s">
        <v>44</v>
      </c>
      <c r="F48" s="2" t="s">
        <v>44</v>
      </c>
      <c r="G48" s="5">
        <v>30</v>
      </c>
      <c r="H48" s="6">
        <v>38</v>
      </c>
      <c r="I48" s="5">
        <v>1140</v>
      </c>
      <c r="J48" s="7">
        <v>100</v>
      </c>
      <c r="K48" s="4">
        <f t="shared" si="0"/>
        <v>3000</v>
      </c>
      <c r="L48" s="6">
        <f t="shared" si="3"/>
        <v>62</v>
      </c>
      <c r="M48" s="5">
        <f t="shared" si="3"/>
        <v>1860</v>
      </c>
      <c r="N48" s="3">
        <v>45831</v>
      </c>
      <c r="O48" s="3">
        <v>45837</v>
      </c>
    </row>
    <row r="49" spans="1:15" x14ac:dyDescent="0.2">
      <c r="A49" s="2" t="s">
        <v>72</v>
      </c>
      <c r="B49" s="2" t="s">
        <v>73</v>
      </c>
      <c r="C49" s="2" t="s">
        <v>71</v>
      </c>
      <c r="D49" s="2" t="s">
        <v>11</v>
      </c>
      <c r="E49" s="2" t="s">
        <v>10</v>
      </c>
      <c r="F49" s="2" t="s">
        <v>10</v>
      </c>
      <c r="G49" s="5">
        <v>30</v>
      </c>
      <c r="H49" s="6">
        <v>168</v>
      </c>
      <c r="I49" s="5">
        <v>5040</v>
      </c>
      <c r="J49" s="7">
        <v>200</v>
      </c>
      <c r="K49" s="4">
        <f t="shared" si="0"/>
        <v>6000</v>
      </c>
      <c r="L49" s="6">
        <f t="shared" si="3"/>
        <v>32</v>
      </c>
      <c r="M49" s="5">
        <f t="shared" si="3"/>
        <v>960</v>
      </c>
      <c r="N49" s="3">
        <v>45831</v>
      </c>
      <c r="O49" s="3">
        <v>45837</v>
      </c>
    </row>
    <row r="50" spans="1:15" x14ac:dyDescent="0.2">
      <c r="A50" s="2" t="s">
        <v>72</v>
      </c>
      <c r="B50" s="2" t="s">
        <v>73</v>
      </c>
      <c r="C50" s="2" t="s">
        <v>71</v>
      </c>
      <c r="D50" s="2" t="s">
        <v>11</v>
      </c>
      <c r="E50" s="2" t="s">
        <v>35</v>
      </c>
      <c r="F50" s="2" t="s">
        <v>36</v>
      </c>
      <c r="G50" s="5">
        <v>7</v>
      </c>
      <c r="H50" s="6">
        <v>44</v>
      </c>
      <c r="I50" s="5">
        <v>308</v>
      </c>
      <c r="J50" s="7">
        <v>0</v>
      </c>
      <c r="K50" s="4">
        <f t="shared" si="0"/>
        <v>0</v>
      </c>
      <c r="L50" s="6">
        <f t="shared" si="3"/>
        <v>-44</v>
      </c>
      <c r="M50" s="5">
        <f t="shared" si="3"/>
        <v>-308</v>
      </c>
      <c r="N50" s="3">
        <v>45831</v>
      </c>
      <c r="O50" s="3">
        <v>45837</v>
      </c>
    </row>
    <row r="51" spans="1:15" x14ac:dyDescent="0.2">
      <c r="A51" s="2" t="s">
        <v>72</v>
      </c>
      <c r="B51" s="2" t="s">
        <v>73</v>
      </c>
      <c r="C51" s="2" t="s">
        <v>71</v>
      </c>
      <c r="D51" s="2" t="s">
        <v>11</v>
      </c>
      <c r="E51" s="2" t="s">
        <v>37</v>
      </c>
      <c r="F51" s="2" t="s">
        <v>38</v>
      </c>
      <c r="G51" s="5">
        <v>7</v>
      </c>
      <c r="H51" s="6">
        <v>44</v>
      </c>
      <c r="I51" s="5">
        <v>308</v>
      </c>
      <c r="J51" s="7">
        <v>0</v>
      </c>
      <c r="K51" s="4">
        <f t="shared" si="0"/>
        <v>0</v>
      </c>
      <c r="L51" s="6">
        <f t="shared" si="3"/>
        <v>-44</v>
      </c>
      <c r="M51" s="5">
        <f t="shared" si="3"/>
        <v>-308</v>
      </c>
      <c r="N51" s="3">
        <v>45831</v>
      </c>
      <c r="O51" s="3">
        <v>45837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A028-2C18-4AA4-B78C-0F078E83F3F1}">
  <dimension ref="A1:O51"/>
  <sheetViews>
    <sheetView showGridLines="0" zoomScale="85" zoomScaleNormal="85" workbookViewId="0">
      <pane ySplit="1" topLeftCell="A2" activePane="bottomLeft" state="frozen"/>
      <selection pane="bottomLeft" activeCell="J2" sqref="J2:J51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54</v>
      </c>
      <c r="F2" s="2" t="s">
        <v>54</v>
      </c>
      <c r="G2" s="5">
        <v>30</v>
      </c>
      <c r="H2" s="6">
        <v>161</v>
      </c>
      <c r="I2" s="5">
        <v>4830</v>
      </c>
      <c r="J2" s="7">
        <v>114</v>
      </c>
      <c r="K2" s="4">
        <f t="shared" ref="K2:K51" si="0">J2*G2</f>
        <v>3420</v>
      </c>
      <c r="L2" s="6">
        <f t="shared" ref="L2:M22" si="1">J2-H2</f>
        <v>-47</v>
      </c>
      <c r="M2" s="5">
        <f t="shared" si="1"/>
        <v>-1410</v>
      </c>
      <c r="N2" s="3">
        <v>45817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12</v>
      </c>
      <c r="F3" s="2" t="s">
        <v>13</v>
      </c>
      <c r="G3" s="5">
        <v>30</v>
      </c>
      <c r="H3" s="6">
        <v>385</v>
      </c>
      <c r="I3" s="5">
        <v>11550</v>
      </c>
      <c r="J3" s="7">
        <v>153</v>
      </c>
      <c r="K3" s="4">
        <f t="shared" si="0"/>
        <v>4590</v>
      </c>
      <c r="L3" s="6">
        <f t="shared" si="1"/>
        <v>-232</v>
      </c>
      <c r="M3" s="5">
        <f t="shared" si="1"/>
        <v>-6960</v>
      </c>
      <c r="N3" s="3">
        <v>45817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57</v>
      </c>
      <c r="F4" s="2" t="s">
        <v>13</v>
      </c>
      <c r="G4" s="5">
        <v>30</v>
      </c>
      <c r="H4" s="6">
        <v>3</v>
      </c>
      <c r="I4" s="5">
        <v>90</v>
      </c>
      <c r="J4" s="7">
        <v>0</v>
      </c>
      <c r="K4" s="4">
        <f t="shared" si="0"/>
        <v>0</v>
      </c>
      <c r="L4" s="6">
        <f t="shared" si="1"/>
        <v>-3</v>
      </c>
      <c r="M4" s="5">
        <f t="shared" si="1"/>
        <v>-90</v>
      </c>
      <c r="N4" s="3">
        <v>45817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14</v>
      </c>
      <c r="F5" s="2" t="s">
        <v>15</v>
      </c>
      <c r="G5" s="5">
        <v>30</v>
      </c>
      <c r="H5" s="6">
        <v>348</v>
      </c>
      <c r="I5" s="5">
        <v>10440</v>
      </c>
      <c r="J5" s="7">
        <v>240</v>
      </c>
      <c r="K5" s="4">
        <f t="shared" si="0"/>
        <v>7200</v>
      </c>
      <c r="L5" s="6">
        <f t="shared" si="1"/>
        <v>-108</v>
      </c>
      <c r="M5" s="5">
        <f t="shared" si="1"/>
        <v>-3240</v>
      </c>
      <c r="N5" s="3">
        <v>45817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58</v>
      </c>
      <c r="F6" s="2" t="s">
        <v>15</v>
      </c>
      <c r="G6" s="5">
        <v>30</v>
      </c>
      <c r="H6" s="6">
        <v>3</v>
      </c>
      <c r="I6" s="5">
        <v>90</v>
      </c>
      <c r="J6" s="7">
        <v>0</v>
      </c>
      <c r="K6" s="4">
        <f t="shared" si="0"/>
        <v>0</v>
      </c>
      <c r="L6" s="6">
        <f t="shared" si="1"/>
        <v>-3</v>
      </c>
      <c r="M6" s="5">
        <f t="shared" si="1"/>
        <v>-90</v>
      </c>
      <c r="N6" s="3">
        <v>45817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16</v>
      </c>
      <c r="F7" s="2" t="s">
        <v>17</v>
      </c>
      <c r="G7" s="5">
        <v>30</v>
      </c>
      <c r="H7" s="6">
        <v>347</v>
      </c>
      <c r="I7" s="5">
        <v>10410</v>
      </c>
      <c r="J7" s="7">
        <v>115</v>
      </c>
      <c r="K7" s="4">
        <f t="shared" si="0"/>
        <v>3450</v>
      </c>
      <c r="L7" s="6">
        <f t="shared" si="1"/>
        <v>-232</v>
      </c>
      <c r="M7" s="5">
        <f t="shared" si="1"/>
        <v>-6960</v>
      </c>
      <c r="N7" s="3">
        <v>45817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53</v>
      </c>
      <c r="F8" s="2" t="s">
        <v>17</v>
      </c>
      <c r="G8" s="5">
        <v>30</v>
      </c>
      <c r="H8" s="6">
        <v>3</v>
      </c>
      <c r="I8" s="5">
        <v>90</v>
      </c>
      <c r="J8" s="7">
        <v>0</v>
      </c>
      <c r="K8" s="4">
        <f t="shared" si="0"/>
        <v>0</v>
      </c>
      <c r="L8" s="6">
        <f t="shared" si="1"/>
        <v>-3</v>
      </c>
      <c r="M8" s="5">
        <f t="shared" si="1"/>
        <v>-90</v>
      </c>
      <c r="N8" s="3">
        <v>45817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18</v>
      </c>
      <c r="F9" s="2" t="s">
        <v>19</v>
      </c>
      <c r="G9" s="5">
        <v>30</v>
      </c>
      <c r="H9" s="6">
        <v>135</v>
      </c>
      <c r="I9" s="5">
        <v>4050</v>
      </c>
      <c r="J9" s="7">
        <v>25</v>
      </c>
      <c r="K9" s="4">
        <f t="shared" si="0"/>
        <v>750</v>
      </c>
      <c r="L9" s="6">
        <f t="shared" si="1"/>
        <v>-110</v>
      </c>
      <c r="M9" s="5">
        <f t="shared" si="1"/>
        <v>-3300</v>
      </c>
      <c r="N9" s="3">
        <v>45817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20</v>
      </c>
      <c r="F10" s="2" t="s">
        <v>21</v>
      </c>
      <c r="G10" s="5">
        <v>30</v>
      </c>
      <c r="H10" s="6">
        <v>128</v>
      </c>
      <c r="I10" s="5">
        <v>3840</v>
      </c>
      <c r="J10" s="7">
        <v>31</v>
      </c>
      <c r="K10" s="4">
        <f t="shared" si="0"/>
        <v>930</v>
      </c>
      <c r="L10" s="6">
        <f t="shared" si="1"/>
        <v>-97</v>
      </c>
      <c r="M10" s="5">
        <f t="shared" si="1"/>
        <v>-2910</v>
      </c>
      <c r="N10" s="3">
        <v>45817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22</v>
      </c>
      <c r="F11" s="2" t="s">
        <v>23</v>
      </c>
      <c r="G11" s="5">
        <v>30</v>
      </c>
      <c r="H11" s="6">
        <v>174</v>
      </c>
      <c r="I11" s="5">
        <v>5220</v>
      </c>
      <c r="J11" s="7">
        <v>15</v>
      </c>
      <c r="K11" s="4">
        <f t="shared" si="0"/>
        <v>450</v>
      </c>
      <c r="L11" s="6">
        <f t="shared" si="1"/>
        <v>-159</v>
      </c>
      <c r="M11" s="5">
        <f t="shared" si="1"/>
        <v>-4770</v>
      </c>
      <c r="N11" s="3">
        <v>45817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24</v>
      </c>
      <c r="F12" s="2" t="s">
        <v>25</v>
      </c>
      <c r="G12" s="5">
        <v>30</v>
      </c>
      <c r="H12" s="6">
        <v>162</v>
      </c>
      <c r="I12" s="5">
        <v>4860</v>
      </c>
      <c r="J12" s="7">
        <v>15</v>
      </c>
      <c r="K12" s="4">
        <f t="shared" si="0"/>
        <v>450</v>
      </c>
      <c r="L12" s="6">
        <f t="shared" si="1"/>
        <v>-147</v>
      </c>
      <c r="M12" s="5">
        <f t="shared" si="1"/>
        <v>-4410</v>
      </c>
      <c r="N12" s="3">
        <v>45817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59</v>
      </c>
      <c r="F13" s="2" t="s">
        <v>25</v>
      </c>
      <c r="G13" s="5">
        <v>30</v>
      </c>
      <c r="H13" s="6">
        <v>3</v>
      </c>
      <c r="I13" s="5">
        <v>90</v>
      </c>
      <c r="J13" s="7">
        <v>0</v>
      </c>
      <c r="K13" s="4">
        <f t="shared" si="0"/>
        <v>0</v>
      </c>
      <c r="L13" s="6">
        <f t="shared" si="1"/>
        <v>-3</v>
      </c>
      <c r="M13" s="5">
        <f t="shared" si="1"/>
        <v>-90</v>
      </c>
      <c r="N13" s="3">
        <v>45817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26</v>
      </c>
      <c r="F14" s="2" t="s">
        <v>27</v>
      </c>
      <c r="G14" s="5">
        <v>30</v>
      </c>
      <c r="H14" s="6">
        <v>203</v>
      </c>
      <c r="I14" s="5">
        <v>6090</v>
      </c>
      <c r="J14" s="7">
        <v>41</v>
      </c>
      <c r="K14" s="4">
        <f t="shared" si="0"/>
        <v>1230</v>
      </c>
      <c r="L14" s="6">
        <f t="shared" si="1"/>
        <v>-162</v>
      </c>
      <c r="M14" s="5">
        <f t="shared" si="1"/>
        <v>-4860</v>
      </c>
      <c r="N14" s="3">
        <v>45817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60</v>
      </c>
      <c r="F15" s="2" t="s">
        <v>27</v>
      </c>
      <c r="G15" s="5">
        <v>30</v>
      </c>
      <c r="H15" s="6">
        <v>3</v>
      </c>
      <c r="I15" s="5">
        <v>90</v>
      </c>
      <c r="J15" s="7">
        <v>0</v>
      </c>
      <c r="K15" s="4">
        <f t="shared" si="0"/>
        <v>0</v>
      </c>
      <c r="L15" s="6">
        <f t="shared" si="1"/>
        <v>-3</v>
      </c>
      <c r="M15" s="5">
        <f t="shared" si="1"/>
        <v>-90</v>
      </c>
      <c r="N15" s="3">
        <v>45817</v>
      </c>
      <c r="O15" s="3">
        <v>45837</v>
      </c>
    </row>
    <row r="16" spans="1:15" x14ac:dyDescent="0.2">
      <c r="A16" s="2" t="s">
        <v>63</v>
      </c>
      <c r="B16" s="2" t="s">
        <v>64</v>
      </c>
      <c r="C16" s="2" t="s">
        <v>62</v>
      </c>
      <c r="D16" s="2" t="s">
        <v>11</v>
      </c>
      <c r="E16" s="2" t="s">
        <v>28</v>
      </c>
      <c r="F16" s="2" t="s">
        <v>29</v>
      </c>
      <c r="G16" s="5">
        <v>30</v>
      </c>
      <c r="H16" s="6">
        <v>201</v>
      </c>
      <c r="I16" s="5">
        <v>6030</v>
      </c>
      <c r="J16" s="7">
        <v>20</v>
      </c>
      <c r="K16" s="4">
        <f t="shared" si="0"/>
        <v>600</v>
      </c>
      <c r="L16" s="6">
        <f t="shared" si="1"/>
        <v>-181</v>
      </c>
      <c r="M16" s="5">
        <f t="shared" si="1"/>
        <v>-5430</v>
      </c>
      <c r="N16" s="3">
        <v>45817</v>
      </c>
      <c r="O16" s="3">
        <v>45837</v>
      </c>
    </row>
    <row r="17" spans="1:15" x14ac:dyDescent="0.2">
      <c r="A17" s="2" t="s">
        <v>63</v>
      </c>
      <c r="B17" s="2" t="s">
        <v>64</v>
      </c>
      <c r="C17" s="2" t="s">
        <v>62</v>
      </c>
      <c r="D17" s="2" t="s">
        <v>11</v>
      </c>
      <c r="E17" s="2" t="s">
        <v>61</v>
      </c>
      <c r="F17" s="2" t="s">
        <v>29</v>
      </c>
      <c r="G17" s="5">
        <v>30</v>
      </c>
      <c r="H17" s="6">
        <v>3</v>
      </c>
      <c r="I17" s="5">
        <v>90</v>
      </c>
      <c r="J17" s="7">
        <v>0</v>
      </c>
      <c r="K17" s="4">
        <f t="shared" si="0"/>
        <v>0</v>
      </c>
      <c r="L17" s="6">
        <f t="shared" si="1"/>
        <v>-3</v>
      </c>
      <c r="M17" s="5">
        <f t="shared" si="1"/>
        <v>-90</v>
      </c>
      <c r="N17" s="3">
        <v>45817</v>
      </c>
      <c r="O17" s="3">
        <v>45837</v>
      </c>
    </row>
    <row r="18" spans="1:15" x14ac:dyDescent="0.2">
      <c r="A18" s="2" t="s">
        <v>63</v>
      </c>
      <c r="B18" s="2" t="s">
        <v>64</v>
      </c>
      <c r="C18" s="2" t="s">
        <v>62</v>
      </c>
      <c r="D18" s="2" t="s">
        <v>11</v>
      </c>
      <c r="E18" s="2" t="s">
        <v>30</v>
      </c>
      <c r="F18" s="2" t="s">
        <v>31</v>
      </c>
      <c r="G18" s="5">
        <v>30</v>
      </c>
      <c r="H18" s="6">
        <v>93</v>
      </c>
      <c r="I18" s="5">
        <v>2790</v>
      </c>
      <c r="J18" s="7">
        <v>36</v>
      </c>
      <c r="K18" s="4">
        <f t="shared" si="0"/>
        <v>1080</v>
      </c>
      <c r="L18" s="6">
        <f t="shared" si="1"/>
        <v>-57</v>
      </c>
      <c r="M18" s="5">
        <f t="shared" si="1"/>
        <v>-1710</v>
      </c>
      <c r="N18" s="3">
        <v>45817</v>
      </c>
      <c r="O18" s="3">
        <v>45837</v>
      </c>
    </row>
    <row r="19" spans="1:15" x14ac:dyDescent="0.2">
      <c r="A19" s="2" t="s">
        <v>63</v>
      </c>
      <c r="B19" s="2" t="s">
        <v>64</v>
      </c>
      <c r="C19" s="2" t="s">
        <v>62</v>
      </c>
      <c r="D19" s="2" t="s">
        <v>11</v>
      </c>
      <c r="E19" s="2" t="s">
        <v>45</v>
      </c>
      <c r="F19" s="2" t="s">
        <v>46</v>
      </c>
      <c r="G19" s="5">
        <v>30</v>
      </c>
      <c r="H19" s="6">
        <v>116</v>
      </c>
      <c r="I19" s="5">
        <v>3480</v>
      </c>
      <c r="J19" s="7">
        <v>20</v>
      </c>
      <c r="K19" s="4">
        <f t="shared" si="0"/>
        <v>600</v>
      </c>
      <c r="L19" s="6">
        <f t="shared" si="1"/>
        <v>-96</v>
      </c>
      <c r="M19" s="5">
        <f t="shared" si="1"/>
        <v>-2880</v>
      </c>
      <c r="N19" s="3">
        <v>45817</v>
      </c>
      <c r="O19" s="3">
        <v>45837</v>
      </c>
    </row>
    <row r="20" spans="1:15" x14ac:dyDescent="0.2">
      <c r="A20" s="2" t="s">
        <v>63</v>
      </c>
      <c r="B20" s="2" t="s">
        <v>64</v>
      </c>
      <c r="C20" s="2" t="s">
        <v>62</v>
      </c>
      <c r="D20" s="2" t="s">
        <v>11</v>
      </c>
      <c r="E20" s="2" t="s">
        <v>47</v>
      </c>
      <c r="F20" s="2" t="s">
        <v>48</v>
      </c>
      <c r="G20" s="5">
        <v>30</v>
      </c>
      <c r="H20" s="6">
        <v>185</v>
      </c>
      <c r="I20" s="5">
        <v>5550</v>
      </c>
      <c r="J20" s="7">
        <v>20</v>
      </c>
      <c r="K20" s="4">
        <f t="shared" si="0"/>
        <v>600</v>
      </c>
      <c r="L20" s="6">
        <f t="shared" si="1"/>
        <v>-165</v>
      </c>
      <c r="M20" s="5">
        <f t="shared" si="1"/>
        <v>-4950</v>
      </c>
      <c r="N20" s="3">
        <v>45817</v>
      </c>
      <c r="O20" s="3">
        <v>45837</v>
      </c>
    </row>
    <row r="21" spans="1:15" x14ac:dyDescent="0.2">
      <c r="A21" s="2" t="s">
        <v>63</v>
      </c>
      <c r="B21" s="2" t="s">
        <v>64</v>
      </c>
      <c r="C21" s="2" t="s">
        <v>62</v>
      </c>
      <c r="D21" s="2" t="s">
        <v>11</v>
      </c>
      <c r="E21" s="2" t="s">
        <v>49</v>
      </c>
      <c r="F21" s="2" t="s">
        <v>50</v>
      </c>
      <c r="G21" s="5">
        <v>30</v>
      </c>
      <c r="H21" s="6">
        <v>131</v>
      </c>
      <c r="I21" s="5">
        <v>3930</v>
      </c>
      <c r="J21" s="7">
        <v>36</v>
      </c>
      <c r="K21" s="4">
        <f t="shared" si="0"/>
        <v>1080</v>
      </c>
      <c r="L21" s="6">
        <f t="shared" si="1"/>
        <v>-95</v>
      </c>
      <c r="M21" s="5">
        <f t="shared" si="1"/>
        <v>-2850</v>
      </c>
      <c r="N21" s="3">
        <v>45817</v>
      </c>
      <c r="O21" s="3">
        <v>45837</v>
      </c>
    </row>
    <row r="22" spans="1:15" x14ac:dyDescent="0.2">
      <c r="A22" s="2" t="s">
        <v>63</v>
      </c>
      <c r="B22" s="2" t="s">
        <v>64</v>
      </c>
      <c r="C22" s="2" t="s">
        <v>62</v>
      </c>
      <c r="D22" s="2" t="s">
        <v>11</v>
      </c>
      <c r="E22" s="2" t="s">
        <v>51</v>
      </c>
      <c r="F22" s="2" t="s">
        <v>52</v>
      </c>
      <c r="G22" s="5">
        <v>30</v>
      </c>
      <c r="H22" s="6">
        <v>135</v>
      </c>
      <c r="I22" s="5">
        <v>4050</v>
      </c>
      <c r="J22" s="7">
        <v>25</v>
      </c>
      <c r="K22" s="4">
        <f t="shared" si="0"/>
        <v>750</v>
      </c>
      <c r="L22" s="6">
        <f t="shared" si="1"/>
        <v>-110</v>
      </c>
      <c r="M22" s="5">
        <f t="shared" si="1"/>
        <v>-3300</v>
      </c>
      <c r="N22" s="3">
        <v>45817</v>
      </c>
      <c r="O22" s="3">
        <v>45837</v>
      </c>
    </row>
    <row r="23" spans="1:15" x14ac:dyDescent="0.2">
      <c r="A23" s="2" t="s">
        <v>66</v>
      </c>
      <c r="B23" s="2" t="s">
        <v>67</v>
      </c>
      <c r="C23" s="2" t="s">
        <v>65</v>
      </c>
      <c r="D23" s="2" t="s">
        <v>11</v>
      </c>
      <c r="E23" s="2" t="s">
        <v>55</v>
      </c>
      <c r="F23" s="2" t="s">
        <v>55</v>
      </c>
      <c r="G23" s="5">
        <v>15</v>
      </c>
      <c r="H23" s="6">
        <v>5</v>
      </c>
      <c r="I23" s="5">
        <v>75</v>
      </c>
      <c r="J23" s="7">
        <v>550</v>
      </c>
      <c r="K23" s="4">
        <f t="shared" si="0"/>
        <v>8250</v>
      </c>
      <c r="L23" s="6">
        <f t="shared" ref="L23:M38" si="2">J23-H23</f>
        <v>545</v>
      </c>
      <c r="M23" s="5">
        <f t="shared" si="2"/>
        <v>8175</v>
      </c>
      <c r="N23" s="3">
        <v>45817</v>
      </c>
      <c r="O23" s="3">
        <v>45837</v>
      </c>
    </row>
    <row r="24" spans="1:15" x14ac:dyDescent="0.2">
      <c r="A24" s="2" t="s">
        <v>66</v>
      </c>
      <c r="B24" s="2" t="s">
        <v>67</v>
      </c>
      <c r="C24" s="2" t="s">
        <v>65</v>
      </c>
      <c r="D24" s="2" t="s">
        <v>11</v>
      </c>
      <c r="E24" s="2" t="s">
        <v>56</v>
      </c>
      <c r="F24" s="2" t="s">
        <v>56</v>
      </c>
      <c r="G24" s="5">
        <v>15</v>
      </c>
      <c r="H24" s="6">
        <v>5</v>
      </c>
      <c r="I24" s="5">
        <v>75</v>
      </c>
      <c r="J24" s="7">
        <v>430</v>
      </c>
      <c r="K24" s="4">
        <f t="shared" si="0"/>
        <v>6450</v>
      </c>
      <c r="L24" s="6">
        <f t="shared" si="2"/>
        <v>425</v>
      </c>
      <c r="M24" s="5">
        <f t="shared" si="2"/>
        <v>6375</v>
      </c>
      <c r="N24" s="3">
        <v>45817</v>
      </c>
      <c r="O24" s="3">
        <v>45837</v>
      </c>
    </row>
    <row r="25" spans="1:15" x14ac:dyDescent="0.2">
      <c r="A25" s="2" t="s">
        <v>69</v>
      </c>
      <c r="B25" s="2" t="s">
        <v>70</v>
      </c>
      <c r="C25" s="2" t="s">
        <v>68</v>
      </c>
      <c r="D25" s="2" t="s">
        <v>11</v>
      </c>
      <c r="E25" s="2" t="s">
        <v>39</v>
      </c>
      <c r="F25" s="2" t="s">
        <v>39</v>
      </c>
      <c r="G25" s="5">
        <v>10</v>
      </c>
      <c r="H25" s="6">
        <v>1120</v>
      </c>
      <c r="I25" s="5">
        <v>11200</v>
      </c>
      <c r="J25" s="7">
        <v>3493</v>
      </c>
      <c r="K25" s="4">
        <f t="shared" si="0"/>
        <v>34930</v>
      </c>
      <c r="L25" s="6">
        <f t="shared" si="2"/>
        <v>2373</v>
      </c>
      <c r="M25" s="5">
        <f t="shared" si="2"/>
        <v>23730</v>
      </c>
      <c r="N25" s="3">
        <v>45831</v>
      </c>
      <c r="O25" s="3">
        <v>45837</v>
      </c>
    </row>
    <row r="26" spans="1:15" x14ac:dyDescent="0.2">
      <c r="A26" s="2" t="s">
        <v>69</v>
      </c>
      <c r="B26" s="2" t="s">
        <v>70</v>
      </c>
      <c r="C26" s="2" t="s">
        <v>68</v>
      </c>
      <c r="D26" s="2" t="s">
        <v>11</v>
      </c>
      <c r="E26" s="2" t="s">
        <v>40</v>
      </c>
      <c r="F26" s="2" t="s">
        <v>40</v>
      </c>
      <c r="G26" s="5">
        <v>5</v>
      </c>
      <c r="H26" s="6">
        <v>280</v>
      </c>
      <c r="I26" s="5">
        <v>1400</v>
      </c>
      <c r="J26" s="7">
        <v>0</v>
      </c>
      <c r="K26" s="4">
        <f t="shared" si="0"/>
        <v>0</v>
      </c>
      <c r="L26" s="6">
        <f t="shared" si="2"/>
        <v>-280</v>
      </c>
      <c r="M26" s="5">
        <f t="shared" si="2"/>
        <v>-1400</v>
      </c>
      <c r="N26" s="3">
        <v>45831</v>
      </c>
      <c r="O26" s="3">
        <v>45837</v>
      </c>
    </row>
    <row r="27" spans="1:15" x14ac:dyDescent="0.2">
      <c r="A27" s="2" t="s">
        <v>69</v>
      </c>
      <c r="B27" s="2" t="s">
        <v>70</v>
      </c>
      <c r="C27" s="2" t="s">
        <v>68</v>
      </c>
      <c r="D27" s="2" t="s">
        <v>11</v>
      </c>
      <c r="E27" s="2" t="s">
        <v>41</v>
      </c>
      <c r="F27" s="2" t="s">
        <v>41</v>
      </c>
      <c r="G27" s="5">
        <v>20</v>
      </c>
      <c r="H27" s="6">
        <v>630</v>
      </c>
      <c r="I27" s="5">
        <v>12600</v>
      </c>
      <c r="J27" s="7">
        <v>130</v>
      </c>
      <c r="K27" s="4">
        <f t="shared" si="0"/>
        <v>2600</v>
      </c>
      <c r="L27" s="6">
        <f t="shared" si="2"/>
        <v>-500</v>
      </c>
      <c r="M27" s="5">
        <f t="shared" si="2"/>
        <v>-10000</v>
      </c>
      <c r="N27" s="3">
        <v>45831</v>
      </c>
      <c r="O27" s="3">
        <v>45837</v>
      </c>
    </row>
    <row r="28" spans="1:15" x14ac:dyDescent="0.2">
      <c r="A28" s="2" t="s">
        <v>69</v>
      </c>
      <c r="B28" s="2" t="s">
        <v>70</v>
      </c>
      <c r="C28" s="2" t="s">
        <v>68</v>
      </c>
      <c r="D28" s="2" t="s">
        <v>11</v>
      </c>
      <c r="E28" s="2" t="s">
        <v>42</v>
      </c>
      <c r="F28" s="2" t="s">
        <v>42</v>
      </c>
      <c r="G28" s="5">
        <v>10</v>
      </c>
      <c r="H28" s="6">
        <v>420</v>
      </c>
      <c r="I28" s="5">
        <v>4200</v>
      </c>
      <c r="J28" s="7">
        <v>170</v>
      </c>
      <c r="K28" s="4">
        <f t="shared" si="0"/>
        <v>1700</v>
      </c>
      <c r="L28" s="6">
        <f t="shared" si="2"/>
        <v>-250</v>
      </c>
      <c r="M28" s="5">
        <f t="shared" si="2"/>
        <v>-2500</v>
      </c>
      <c r="N28" s="3">
        <v>45831</v>
      </c>
      <c r="O28" s="3">
        <v>45837</v>
      </c>
    </row>
    <row r="29" spans="1:15" x14ac:dyDescent="0.2">
      <c r="A29" s="2" t="s">
        <v>69</v>
      </c>
      <c r="B29" s="2" t="s">
        <v>70</v>
      </c>
      <c r="C29" s="2" t="s">
        <v>68</v>
      </c>
      <c r="D29" s="2" t="s">
        <v>11</v>
      </c>
      <c r="E29" s="2" t="s">
        <v>43</v>
      </c>
      <c r="F29" s="2" t="s">
        <v>43</v>
      </c>
      <c r="G29" s="5">
        <v>10</v>
      </c>
      <c r="H29" s="6">
        <v>700</v>
      </c>
      <c r="I29" s="5">
        <v>7000</v>
      </c>
      <c r="J29" s="7">
        <v>395</v>
      </c>
      <c r="K29" s="4">
        <f t="shared" si="0"/>
        <v>3950</v>
      </c>
      <c r="L29" s="6">
        <f t="shared" si="2"/>
        <v>-305</v>
      </c>
      <c r="M29" s="5">
        <f t="shared" si="2"/>
        <v>-3050</v>
      </c>
      <c r="N29" s="3">
        <v>45831</v>
      </c>
      <c r="O29" s="3">
        <v>45837</v>
      </c>
    </row>
    <row r="30" spans="1:15" x14ac:dyDescent="0.2">
      <c r="A30" s="2" t="s">
        <v>69</v>
      </c>
      <c r="B30" s="2" t="s">
        <v>70</v>
      </c>
      <c r="C30" s="2" t="s">
        <v>68</v>
      </c>
      <c r="D30" s="2" t="s">
        <v>11</v>
      </c>
      <c r="E30" s="2" t="s">
        <v>33</v>
      </c>
      <c r="F30" s="2" t="s">
        <v>33</v>
      </c>
      <c r="G30" s="5">
        <v>10</v>
      </c>
      <c r="H30" s="6">
        <v>7</v>
      </c>
      <c r="I30" s="5">
        <v>70</v>
      </c>
      <c r="J30" s="7">
        <v>0</v>
      </c>
      <c r="K30" s="4">
        <f t="shared" si="0"/>
        <v>0</v>
      </c>
      <c r="L30" s="6">
        <f t="shared" si="2"/>
        <v>-7</v>
      </c>
      <c r="M30" s="5">
        <f t="shared" si="2"/>
        <v>-70</v>
      </c>
      <c r="N30" s="3">
        <v>45831</v>
      </c>
      <c r="O30" s="3">
        <v>45837</v>
      </c>
    </row>
    <row r="31" spans="1:15" x14ac:dyDescent="0.2">
      <c r="A31" s="2" t="s">
        <v>69</v>
      </c>
      <c r="B31" s="2" t="s">
        <v>70</v>
      </c>
      <c r="C31" s="2" t="s">
        <v>68</v>
      </c>
      <c r="D31" s="2" t="s">
        <v>11</v>
      </c>
      <c r="E31" s="2" t="s">
        <v>34</v>
      </c>
      <c r="F31" s="2" t="s">
        <v>34</v>
      </c>
      <c r="G31" s="5">
        <v>10</v>
      </c>
      <c r="H31" s="6">
        <v>7</v>
      </c>
      <c r="I31" s="5">
        <v>70</v>
      </c>
      <c r="J31" s="7">
        <v>0</v>
      </c>
      <c r="K31" s="4">
        <f t="shared" si="0"/>
        <v>0</v>
      </c>
      <c r="L31" s="6">
        <f t="shared" si="2"/>
        <v>-7</v>
      </c>
      <c r="M31" s="5">
        <f t="shared" si="2"/>
        <v>-70</v>
      </c>
      <c r="N31" s="3">
        <v>45831</v>
      </c>
      <c r="O31" s="3">
        <v>45837</v>
      </c>
    </row>
    <row r="32" spans="1:15" x14ac:dyDescent="0.2">
      <c r="A32" s="2" t="s">
        <v>69</v>
      </c>
      <c r="B32" s="2" t="s">
        <v>70</v>
      </c>
      <c r="C32" s="2" t="s">
        <v>68</v>
      </c>
      <c r="D32" s="2" t="s">
        <v>11</v>
      </c>
      <c r="E32" s="2" t="s">
        <v>8</v>
      </c>
      <c r="F32" s="2" t="s">
        <v>8</v>
      </c>
      <c r="G32" s="5">
        <v>30</v>
      </c>
      <c r="H32" s="6">
        <v>105</v>
      </c>
      <c r="I32" s="5">
        <v>3150</v>
      </c>
      <c r="J32" s="7">
        <v>40</v>
      </c>
      <c r="K32" s="4">
        <f t="shared" si="0"/>
        <v>1200</v>
      </c>
      <c r="L32" s="6">
        <f t="shared" si="2"/>
        <v>-65</v>
      </c>
      <c r="M32" s="5">
        <f t="shared" si="2"/>
        <v>-1950</v>
      </c>
      <c r="N32" s="3">
        <v>45831</v>
      </c>
      <c r="O32" s="3">
        <v>45837</v>
      </c>
    </row>
    <row r="33" spans="1:15" x14ac:dyDescent="0.2">
      <c r="A33" s="2" t="s">
        <v>69</v>
      </c>
      <c r="B33" s="2" t="s">
        <v>70</v>
      </c>
      <c r="C33" s="2" t="s">
        <v>68</v>
      </c>
      <c r="D33" s="2" t="s">
        <v>11</v>
      </c>
      <c r="E33" s="2" t="s">
        <v>9</v>
      </c>
      <c r="F33" s="2" t="s">
        <v>9</v>
      </c>
      <c r="G33" s="5">
        <v>30</v>
      </c>
      <c r="H33" s="6">
        <v>42</v>
      </c>
      <c r="I33" s="5">
        <v>1260</v>
      </c>
      <c r="J33" s="7">
        <v>0</v>
      </c>
      <c r="K33" s="4">
        <f t="shared" si="0"/>
        <v>0</v>
      </c>
      <c r="L33" s="6">
        <f t="shared" si="2"/>
        <v>-42</v>
      </c>
      <c r="M33" s="5">
        <f t="shared" si="2"/>
        <v>-1260</v>
      </c>
      <c r="N33" s="3">
        <v>45831</v>
      </c>
      <c r="O33" s="3">
        <v>45837</v>
      </c>
    </row>
    <row r="34" spans="1:15" x14ac:dyDescent="0.2">
      <c r="A34" s="2" t="s">
        <v>69</v>
      </c>
      <c r="B34" s="2" t="s">
        <v>70</v>
      </c>
      <c r="C34" s="2" t="s">
        <v>68</v>
      </c>
      <c r="D34" s="2" t="s">
        <v>11</v>
      </c>
      <c r="E34" s="2" t="s">
        <v>44</v>
      </c>
      <c r="F34" s="2" t="s">
        <v>44</v>
      </c>
      <c r="G34" s="5">
        <v>30</v>
      </c>
      <c r="H34" s="6">
        <v>42</v>
      </c>
      <c r="I34" s="5">
        <v>1260</v>
      </c>
      <c r="J34" s="7">
        <v>444</v>
      </c>
      <c r="K34" s="4">
        <f t="shared" si="0"/>
        <v>13320</v>
      </c>
      <c r="L34" s="6">
        <f t="shared" si="2"/>
        <v>402</v>
      </c>
      <c r="M34" s="5">
        <f t="shared" si="2"/>
        <v>12060</v>
      </c>
      <c r="N34" s="3">
        <v>45831</v>
      </c>
      <c r="O34" s="3">
        <v>45837</v>
      </c>
    </row>
    <row r="35" spans="1:15" x14ac:dyDescent="0.2">
      <c r="A35" s="2" t="s">
        <v>69</v>
      </c>
      <c r="B35" s="2" t="s">
        <v>70</v>
      </c>
      <c r="C35" s="2" t="s">
        <v>68</v>
      </c>
      <c r="D35" s="2" t="s">
        <v>11</v>
      </c>
      <c r="E35" s="2" t="s">
        <v>10</v>
      </c>
      <c r="F35" s="2" t="s">
        <v>10</v>
      </c>
      <c r="G35" s="5">
        <v>30</v>
      </c>
      <c r="H35" s="6">
        <v>140</v>
      </c>
      <c r="I35" s="5">
        <v>4200</v>
      </c>
      <c r="J35" s="7">
        <v>282</v>
      </c>
      <c r="K35" s="4">
        <f t="shared" si="0"/>
        <v>8460</v>
      </c>
      <c r="L35" s="6">
        <f t="shared" si="2"/>
        <v>142</v>
      </c>
      <c r="M35" s="5">
        <f t="shared" si="2"/>
        <v>4260</v>
      </c>
      <c r="N35" s="3">
        <v>45831</v>
      </c>
      <c r="O35" s="3">
        <v>45837</v>
      </c>
    </row>
    <row r="36" spans="1:15" x14ac:dyDescent="0.2">
      <c r="A36" s="2" t="s">
        <v>69</v>
      </c>
      <c r="B36" s="2" t="s">
        <v>70</v>
      </c>
      <c r="C36" s="2" t="s">
        <v>68</v>
      </c>
      <c r="D36" s="2" t="s">
        <v>11</v>
      </c>
      <c r="E36" s="2" t="s">
        <v>35</v>
      </c>
      <c r="F36" s="2" t="s">
        <v>36</v>
      </c>
      <c r="G36" s="5">
        <v>7</v>
      </c>
      <c r="H36" s="6">
        <v>4</v>
      </c>
      <c r="I36" s="5">
        <v>28</v>
      </c>
      <c r="J36" s="7">
        <v>0</v>
      </c>
      <c r="K36" s="4">
        <f t="shared" si="0"/>
        <v>0</v>
      </c>
      <c r="L36" s="6">
        <f t="shared" si="2"/>
        <v>-4</v>
      </c>
      <c r="M36" s="5">
        <f t="shared" si="2"/>
        <v>-28</v>
      </c>
      <c r="N36" s="3">
        <v>45831</v>
      </c>
      <c r="O36" s="3">
        <v>45837</v>
      </c>
    </row>
    <row r="37" spans="1:15" x14ac:dyDescent="0.2">
      <c r="A37" s="2" t="s">
        <v>69</v>
      </c>
      <c r="B37" s="2" t="s">
        <v>70</v>
      </c>
      <c r="C37" s="2" t="s">
        <v>68</v>
      </c>
      <c r="D37" s="2" t="s">
        <v>11</v>
      </c>
      <c r="E37" s="2" t="s">
        <v>37</v>
      </c>
      <c r="F37" s="2" t="s">
        <v>38</v>
      </c>
      <c r="G37" s="5">
        <v>7</v>
      </c>
      <c r="H37" s="6">
        <v>4</v>
      </c>
      <c r="I37" s="5">
        <v>28</v>
      </c>
      <c r="J37" s="7">
        <v>0</v>
      </c>
      <c r="K37" s="4">
        <f t="shared" si="0"/>
        <v>0</v>
      </c>
      <c r="L37" s="6">
        <f t="shared" si="2"/>
        <v>-4</v>
      </c>
      <c r="M37" s="5">
        <f t="shared" si="2"/>
        <v>-28</v>
      </c>
      <c r="N37" s="3">
        <v>45831</v>
      </c>
      <c r="O37" s="3">
        <v>45837</v>
      </c>
    </row>
    <row r="38" spans="1:15" x14ac:dyDescent="0.2">
      <c r="A38" s="2" t="s">
        <v>72</v>
      </c>
      <c r="B38" s="2" t="s">
        <v>73</v>
      </c>
      <c r="C38" s="2" t="s">
        <v>71</v>
      </c>
      <c r="D38" s="2" t="s">
        <v>11</v>
      </c>
      <c r="E38" s="2" t="s">
        <v>32</v>
      </c>
      <c r="F38" s="2" t="s">
        <v>32</v>
      </c>
      <c r="G38" s="5">
        <v>10</v>
      </c>
      <c r="H38" s="6">
        <v>744</v>
      </c>
      <c r="I38" s="5">
        <v>7440</v>
      </c>
      <c r="J38" s="7">
        <v>0</v>
      </c>
      <c r="K38" s="4">
        <f t="shared" si="0"/>
        <v>0</v>
      </c>
      <c r="L38" s="6">
        <f t="shared" si="2"/>
        <v>-744</v>
      </c>
      <c r="M38" s="5">
        <f t="shared" si="2"/>
        <v>-7440</v>
      </c>
      <c r="N38" s="3">
        <v>45831</v>
      </c>
      <c r="O38" s="3">
        <v>45837</v>
      </c>
    </row>
    <row r="39" spans="1:15" x14ac:dyDescent="0.2">
      <c r="A39" s="2" t="s">
        <v>72</v>
      </c>
      <c r="B39" s="2" t="s">
        <v>73</v>
      </c>
      <c r="C39" s="2" t="s">
        <v>71</v>
      </c>
      <c r="D39" s="2" t="s">
        <v>11</v>
      </c>
      <c r="E39" s="2" t="s">
        <v>39</v>
      </c>
      <c r="F39" s="2" t="s">
        <v>39</v>
      </c>
      <c r="G39" s="5">
        <v>10</v>
      </c>
      <c r="H39" s="6">
        <v>462</v>
      </c>
      <c r="I39" s="5">
        <v>4620</v>
      </c>
      <c r="J39" s="7">
        <v>1477</v>
      </c>
      <c r="K39" s="4">
        <f t="shared" si="0"/>
        <v>14770</v>
      </c>
      <c r="L39" s="6">
        <f t="shared" ref="L39:M51" si="3">J39-H39</f>
        <v>1015</v>
      </c>
      <c r="M39" s="5">
        <f t="shared" si="3"/>
        <v>10150</v>
      </c>
      <c r="N39" s="3">
        <v>45831</v>
      </c>
      <c r="O39" s="3">
        <v>45837</v>
      </c>
    </row>
    <row r="40" spans="1:15" x14ac:dyDescent="0.2">
      <c r="A40" s="2" t="s">
        <v>72</v>
      </c>
      <c r="B40" s="2" t="s">
        <v>73</v>
      </c>
      <c r="C40" s="2" t="s">
        <v>71</v>
      </c>
      <c r="D40" s="2" t="s">
        <v>11</v>
      </c>
      <c r="E40" s="2" t="s">
        <v>40</v>
      </c>
      <c r="F40" s="2" t="s">
        <v>40</v>
      </c>
      <c r="G40" s="5">
        <v>5</v>
      </c>
      <c r="H40" s="6">
        <v>111</v>
      </c>
      <c r="I40" s="5">
        <v>555</v>
      </c>
      <c r="J40" s="7">
        <v>145</v>
      </c>
      <c r="K40" s="4">
        <f t="shared" si="0"/>
        <v>725</v>
      </c>
      <c r="L40" s="6">
        <f t="shared" si="3"/>
        <v>34</v>
      </c>
      <c r="M40" s="5">
        <f t="shared" si="3"/>
        <v>170</v>
      </c>
      <c r="N40" s="3">
        <v>45831</v>
      </c>
      <c r="O40" s="3">
        <v>45837</v>
      </c>
    </row>
    <row r="41" spans="1:15" x14ac:dyDescent="0.2">
      <c r="A41" s="2" t="s">
        <v>72</v>
      </c>
      <c r="B41" s="2" t="s">
        <v>73</v>
      </c>
      <c r="C41" s="2" t="s">
        <v>71</v>
      </c>
      <c r="D41" s="2" t="s">
        <v>11</v>
      </c>
      <c r="E41" s="2" t="s">
        <v>41</v>
      </c>
      <c r="F41" s="2" t="s">
        <v>41</v>
      </c>
      <c r="G41" s="5">
        <v>20</v>
      </c>
      <c r="H41" s="6">
        <v>147</v>
      </c>
      <c r="I41" s="5">
        <v>2940</v>
      </c>
      <c r="J41" s="7">
        <v>0</v>
      </c>
      <c r="K41" s="4">
        <f t="shared" si="0"/>
        <v>0</v>
      </c>
      <c r="L41" s="6">
        <f t="shared" si="3"/>
        <v>-147</v>
      </c>
      <c r="M41" s="5">
        <f t="shared" si="3"/>
        <v>-2940</v>
      </c>
      <c r="N41" s="3">
        <v>45831</v>
      </c>
      <c r="O41" s="3">
        <v>45837</v>
      </c>
    </row>
    <row r="42" spans="1:15" x14ac:dyDescent="0.2">
      <c r="A42" s="2" t="s">
        <v>72</v>
      </c>
      <c r="B42" s="2" t="s">
        <v>73</v>
      </c>
      <c r="C42" s="2" t="s">
        <v>71</v>
      </c>
      <c r="D42" s="2" t="s">
        <v>11</v>
      </c>
      <c r="E42" s="2" t="s">
        <v>42</v>
      </c>
      <c r="F42" s="2" t="s">
        <v>42</v>
      </c>
      <c r="G42" s="5">
        <v>10</v>
      </c>
      <c r="H42" s="6">
        <v>247</v>
      </c>
      <c r="I42" s="5">
        <v>2470</v>
      </c>
      <c r="J42" s="7">
        <v>0</v>
      </c>
      <c r="K42" s="4">
        <f t="shared" si="0"/>
        <v>0</v>
      </c>
      <c r="L42" s="6">
        <f t="shared" si="3"/>
        <v>-247</v>
      </c>
      <c r="M42" s="5">
        <f t="shared" si="3"/>
        <v>-2470</v>
      </c>
      <c r="N42" s="3">
        <v>45831</v>
      </c>
      <c r="O42" s="3">
        <v>45837</v>
      </c>
    </row>
    <row r="43" spans="1:15" x14ac:dyDescent="0.2">
      <c r="A43" s="2" t="s">
        <v>72</v>
      </c>
      <c r="B43" s="2" t="s">
        <v>73</v>
      </c>
      <c r="C43" s="2" t="s">
        <v>71</v>
      </c>
      <c r="D43" s="2" t="s">
        <v>11</v>
      </c>
      <c r="E43" s="2" t="s">
        <v>43</v>
      </c>
      <c r="F43" s="2" t="s">
        <v>43</v>
      </c>
      <c r="G43" s="5">
        <v>10</v>
      </c>
      <c r="H43" s="6">
        <v>211</v>
      </c>
      <c r="I43" s="5">
        <v>2110</v>
      </c>
      <c r="J43" s="7">
        <v>0</v>
      </c>
      <c r="K43" s="4">
        <f t="shared" si="0"/>
        <v>0</v>
      </c>
      <c r="L43" s="6">
        <f t="shared" si="3"/>
        <v>-211</v>
      </c>
      <c r="M43" s="5">
        <f t="shared" si="3"/>
        <v>-2110</v>
      </c>
      <c r="N43" s="3">
        <v>45831</v>
      </c>
      <c r="O43" s="3">
        <v>45837</v>
      </c>
    </row>
    <row r="44" spans="1:15" x14ac:dyDescent="0.2">
      <c r="A44" s="2" t="s">
        <v>72</v>
      </c>
      <c r="B44" s="2" t="s">
        <v>73</v>
      </c>
      <c r="C44" s="2" t="s">
        <v>71</v>
      </c>
      <c r="D44" s="2" t="s">
        <v>11</v>
      </c>
      <c r="E44" s="2" t="s">
        <v>33</v>
      </c>
      <c r="F44" s="2" t="s">
        <v>33</v>
      </c>
      <c r="G44" s="5">
        <v>10</v>
      </c>
      <c r="H44" s="6">
        <v>19</v>
      </c>
      <c r="I44" s="5">
        <v>190</v>
      </c>
      <c r="J44" s="7">
        <v>0</v>
      </c>
      <c r="K44" s="4">
        <f t="shared" si="0"/>
        <v>0</v>
      </c>
      <c r="L44" s="6">
        <f t="shared" si="3"/>
        <v>-19</v>
      </c>
      <c r="M44" s="5">
        <f t="shared" si="3"/>
        <v>-190</v>
      </c>
      <c r="N44" s="3">
        <v>45831</v>
      </c>
      <c r="O44" s="3">
        <v>45837</v>
      </c>
    </row>
    <row r="45" spans="1:15" x14ac:dyDescent="0.2">
      <c r="A45" s="2" t="s">
        <v>72</v>
      </c>
      <c r="B45" s="2" t="s">
        <v>73</v>
      </c>
      <c r="C45" s="2" t="s">
        <v>71</v>
      </c>
      <c r="D45" s="2" t="s">
        <v>11</v>
      </c>
      <c r="E45" s="2" t="s">
        <v>34</v>
      </c>
      <c r="F45" s="2" t="s">
        <v>34</v>
      </c>
      <c r="G45" s="5">
        <v>10</v>
      </c>
      <c r="H45" s="6">
        <v>63</v>
      </c>
      <c r="I45" s="5">
        <v>630</v>
      </c>
      <c r="J45" s="7">
        <v>0</v>
      </c>
      <c r="K45" s="4">
        <f t="shared" si="0"/>
        <v>0</v>
      </c>
      <c r="L45" s="6">
        <f t="shared" si="3"/>
        <v>-63</v>
      </c>
      <c r="M45" s="5">
        <f t="shared" si="3"/>
        <v>-630</v>
      </c>
      <c r="N45" s="3">
        <v>45831</v>
      </c>
      <c r="O45" s="3">
        <v>45837</v>
      </c>
    </row>
    <row r="46" spans="1:15" x14ac:dyDescent="0.2">
      <c r="A46" s="2" t="s">
        <v>72</v>
      </c>
      <c r="B46" s="2" t="s">
        <v>73</v>
      </c>
      <c r="C46" s="2" t="s">
        <v>71</v>
      </c>
      <c r="D46" s="2" t="s">
        <v>11</v>
      </c>
      <c r="E46" s="2" t="s">
        <v>8</v>
      </c>
      <c r="F46" s="2" t="s">
        <v>8</v>
      </c>
      <c r="G46" s="5">
        <v>30</v>
      </c>
      <c r="H46" s="6">
        <v>102</v>
      </c>
      <c r="I46" s="5">
        <v>3060</v>
      </c>
      <c r="J46" s="7">
        <v>150</v>
      </c>
      <c r="K46" s="4">
        <f t="shared" si="0"/>
        <v>4500</v>
      </c>
      <c r="L46" s="6">
        <f t="shared" si="3"/>
        <v>48</v>
      </c>
      <c r="M46" s="5">
        <f t="shared" si="3"/>
        <v>1440</v>
      </c>
      <c r="N46" s="3">
        <v>45831</v>
      </c>
      <c r="O46" s="3">
        <v>45837</v>
      </c>
    </row>
    <row r="47" spans="1:15" x14ac:dyDescent="0.2">
      <c r="A47" s="2" t="s">
        <v>72</v>
      </c>
      <c r="B47" s="2" t="s">
        <v>73</v>
      </c>
      <c r="C47" s="2" t="s">
        <v>71</v>
      </c>
      <c r="D47" s="2" t="s">
        <v>11</v>
      </c>
      <c r="E47" s="2" t="s">
        <v>9</v>
      </c>
      <c r="F47" s="2" t="s">
        <v>9</v>
      </c>
      <c r="G47" s="5">
        <v>30</v>
      </c>
      <c r="H47" s="6">
        <v>43</v>
      </c>
      <c r="I47" s="5">
        <v>1290</v>
      </c>
      <c r="J47" s="7">
        <v>0</v>
      </c>
      <c r="K47" s="4">
        <f t="shared" si="0"/>
        <v>0</v>
      </c>
      <c r="L47" s="6">
        <f t="shared" si="3"/>
        <v>-43</v>
      </c>
      <c r="M47" s="5">
        <f t="shared" si="3"/>
        <v>-1290</v>
      </c>
      <c r="N47" s="3">
        <v>45831</v>
      </c>
      <c r="O47" s="3">
        <v>45837</v>
      </c>
    </row>
    <row r="48" spans="1:15" x14ac:dyDescent="0.2">
      <c r="A48" s="2" t="s">
        <v>72</v>
      </c>
      <c r="B48" s="2" t="s">
        <v>73</v>
      </c>
      <c r="C48" s="2" t="s">
        <v>71</v>
      </c>
      <c r="D48" s="2" t="s">
        <v>11</v>
      </c>
      <c r="E48" s="2" t="s">
        <v>44</v>
      </c>
      <c r="F48" s="2" t="s">
        <v>44</v>
      </c>
      <c r="G48" s="5">
        <v>30</v>
      </c>
      <c r="H48" s="6">
        <v>38</v>
      </c>
      <c r="I48" s="5">
        <v>1140</v>
      </c>
      <c r="J48" s="7">
        <v>100</v>
      </c>
      <c r="K48" s="4">
        <f t="shared" si="0"/>
        <v>3000</v>
      </c>
      <c r="L48" s="6">
        <f t="shared" si="3"/>
        <v>62</v>
      </c>
      <c r="M48" s="5">
        <f t="shared" si="3"/>
        <v>1860</v>
      </c>
      <c r="N48" s="3">
        <v>45831</v>
      </c>
      <c r="O48" s="3">
        <v>45837</v>
      </c>
    </row>
    <row r="49" spans="1:15" x14ac:dyDescent="0.2">
      <c r="A49" s="2" t="s">
        <v>72</v>
      </c>
      <c r="B49" s="2" t="s">
        <v>73</v>
      </c>
      <c r="C49" s="2" t="s">
        <v>71</v>
      </c>
      <c r="D49" s="2" t="s">
        <v>11</v>
      </c>
      <c r="E49" s="2" t="s">
        <v>10</v>
      </c>
      <c r="F49" s="2" t="s">
        <v>10</v>
      </c>
      <c r="G49" s="5">
        <v>30</v>
      </c>
      <c r="H49" s="6">
        <v>168</v>
      </c>
      <c r="I49" s="5">
        <v>5040</v>
      </c>
      <c r="J49" s="7">
        <v>798</v>
      </c>
      <c r="K49" s="4">
        <f t="shared" si="0"/>
        <v>23940</v>
      </c>
      <c r="L49" s="6">
        <f t="shared" si="3"/>
        <v>630</v>
      </c>
      <c r="M49" s="5">
        <f t="shared" si="3"/>
        <v>18900</v>
      </c>
      <c r="N49" s="3">
        <v>45831</v>
      </c>
      <c r="O49" s="3">
        <v>45837</v>
      </c>
    </row>
    <row r="50" spans="1:15" x14ac:dyDescent="0.2">
      <c r="A50" s="2" t="s">
        <v>72</v>
      </c>
      <c r="B50" s="2" t="s">
        <v>73</v>
      </c>
      <c r="C50" s="2" t="s">
        <v>71</v>
      </c>
      <c r="D50" s="2" t="s">
        <v>11</v>
      </c>
      <c r="E50" s="2" t="s">
        <v>35</v>
      </c>
      <c r="F50" s="2" t="s">
        <v>36</v>
      </c>
      <c r="G50" s="5">
        <v>7</v>
      </c>
      <c r="H50" s="6">
        <v>44</v>
      </c>
      <c r="I50" s="5">
        <v>308</v>
      </c>
      <c r="J50" s="7">
        <v>0</v>
      </c>
      <c r="K50" s="4">
        <f t="shared" si="0"/>
        <v>0</v>
      </c>
      <c r="L50" s="6">
        <f t="shared" si="3"/>
        <v>-44</v>
      </c>
      <c r="M50" s="5">
        <f t="shared" si="3"/>
        <v>-308</v>
      </c>
      <c r="N50" s="3">
        <v>45831</v>
      </c>
      <c r="O50" s="3">
        <v>45837</v>
      </c>
    </row>
    <row r="51" spans="1:15" x14ac:dyDescent="0.2">
      <c r="A51" s="2" t="s">
        <v>72</v>
      </c>
      <c r="B51" s="2" t="s">
        <v>73</v>
      </c>
      <c r="C51" s="2" t="s">
        <v>71</v>
      </c>
      <c r="D51" s="2" t="s">
        <v>11</v>
      </c>
      <c r="E51" s="2" t="s">
        <v>37</v>
      </c>
      <c r="F51" s="2" t="s">
        <v>38</v>
      </c>
      <c r="G51" s="5">
        <v>7</v>
      </c>
      <c r="H51" s="6">
        <v>44</v>
      </c>
      <c r="I51" s="5">
        <v>308</v>
      </c>
      <c r="J51" s="7">
        <v>0</v>
      </c>
      <c r="K51" s="4">
        <f t="shared" si="0"/>
        <v>0</v>
      </c>
      <c r="L51" s="6">
        <f t="shared" si="3"/>
        <v>-44</v>
      </c>
      <c r="M51" s="5">
        <f t="shared" si="3"/>
        <v>-308</v>
      </c>
      <c r="N51" s="3">
        <v>45831</v>
      </c>
      <c r="O51" s="3">
        <v>45837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Difference</vt:lpstr>
      <vt:lpstr>Invoiced</vt:lpstr>
      <vt:lpstr>Sent To Samsung</vt:lpstr>
      <vt:lpstr>Invoiced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2025-06-30T14:57:06Z</dcterms:modified>
  <cp:category/>
</cp:coreProperties>
</file>