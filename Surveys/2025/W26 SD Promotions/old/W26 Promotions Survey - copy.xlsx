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6 SD Promotions\old\"/>
    </mc:Choice>
  </mc:AlternateContent>
  <xr:revisionPtr revIDLastSave="0" documentId="13_ncr:1_{5EBDE197-5A37-4122-9BD4-5E4A97958F2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urvey + Shipping" sheetId="2" r:id="rId1"/>
    <sheet name="Invoiced" sheetId="1" r:id="rId2"/>
    <sheet name="Survey + Shipping (2)" sheetId="3" r:id="rId3"/>
  </sheets>
  <definedNames>
    <definedName name="_xlnm._FilterDatabase" localSheetId="1" hidden="1">Invoiced!$A$1:$O$51</definedName>
    <definedName name="_xlnm._FilterDatabase" localSheetId="0" hidden="1">'Survey + Shipping'!$A$1:$O$51</definedName>
    <definedName name="_xlnm._FilterDatabase" localSheetId="2" hidden="1">'Survey + Shipping (2)'!$A$1:$O$51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3" l="1"/>
  <c r="K51" i="3"/>
  <c r="M51" i="3" s="1"/>
  <c r="L50" i="3"/>
  <c r="K50" i="3"/>
  <c r="M50" i="3" s="1"/>
  <c r="L49" i="3"/>
  <c r="K49" i="3"/>
  <c r="M49" i="3" s="1"/>
  <c r="L48" i="3"/>
  <c r="K48" i="3"/>
  <c r="M48" i="3" s="1"/>
  <c r="L47" i="3"/>
  <c r="K47" i="3"/>
  <c r="M47" i="3" s="1"/>
  <c r="L46" i="3"/>
  <c r="K46" i="3"/>
  <c r="M46" i="3" s="1"/>
  <c r="L45" i="3"/>
  <c r="K45" i="3"/>
  <c r="M45" i="3" s="1"/>
  <c r="L44" i="3"/>
  <c r="K44" i="3"/>
  <c r="M44" i="3" s="1"/>
  <c r="L43" i="3"/>
  <c r="K43" i="3"/>
  <c r="M43" i="3" s="1"/>
  <c r="L42" i="3"/>
  <c r="K42" i="3"/>
  <c r="M42" i="3" s="1"/>
  <c r="M41" i="3"/>
  <c r="L41" i="3"/>
  <c r="K41" i="3"/>
  <c r="L40" i="3"/>
  <c r="K40" i="3"/>
  <c r="M40" i="3" s="1"/>
  <c r="L39" i="3"/>
  <c r="K39" i="3"/>
  <c r="M39" i="3" s="1"/>
  <c r="L38" i="3"/>
  <c r="K38" i="3"/>
  <c r="M38" i="3" s="1"/>
  <c r="M37" i="3"/>
  <c r="L37" i="3"/>
  <c r="K37" i="3"/>
  <c r="L36" i="3"/>
  <c r="K36" i="3"/>
  <c r="M36" i="3" s="1"/>
  <c r="L35" i="3"/>
  <c r="K35" i="3"/>
  <c r="M35" i="3" s="1"/>
  <c r="L34" i="3"/>
  <c r="K34" i="3"/>
  <c r="M34" i="3" s="1"/>
  <c r="L33" i="3"/>
  <c r="K33" i="3"/>
  <c r="M33" i="3" s="1"/>
  <c r="M32" i="3"/>
  <c r="L32" i="3"/>
  <c r="K32" i="3"/>
  <c r="M31" i="3"/>
  <c r="L31" i="3"/>
  <c r="K31" i="3"/>
  <c r="L30" i="3"/>
  <c r="K30" i="3"/>
  <c r="M30" i="3" s="1"/>
  <c r="L29" i="3"/>
  <c r="K29" i="3"/>
  <c r="M29" i="3" s="1"/>
  <c r="L28" i="3"/>
  <c r="K28" i="3"/>
  <c r="M28" i="3" s="1"/>
  <c r="L27" i="3"/>
  <c r="K27" i="3"/>
  <c r="M27" i="3" s="1"/>
  <c r="L26" i="3"/>
  <c r="K26" i="3"/>
  <c r="M26" i="3" s="1"/>
  <c r="L25" i="3"/>
  <c r="K25" i="3"/>
  <c r="M25" i="3" s="1"/>
  <c r="L24" i="3"/>
  <c r="K24" i="3"/>
  <c r="M24" i="3" s="1"/>
  <c r="M23" i="3"/>
  <c r="L23" i="3"/>
  <c r="K23" i="3"/>
  <c r="L22" i="3"/>
  <c r="K22" i="3"/>
  <c r="M22" i="3" s="1"/>
  <c r="L21" i="3"/>
  <c r="K21" i="3"/>
  <c r="M21" i="3" s="1"/>
  <c r="L20" i="3"/>
  <c r="K20" i="3"/>
  <c r="M20" i="3" s="1"/>
  <c r="M19" i="3"/>
  <c r="L19" i="3"/>
  <c r="K19" i="3"/>
  <c r="L18" i="3"/>
  <c r="K18" i="3"/>
  <c r="M18" i="3" s="1"/>
  <c r="L17" i="3"/>
  <c r="K17" i="3"/>
  <c r="M17" i="3" s="1"/>
  <c r="L16" i="3"/>
  <c r="K16" i="3"/>
  <c r="M16" i="3" s="1"/>
  <c r="L15" i="3"/>
  <c r="K15" i="3"/>
  <c r="M15" i="3" s="1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L10" i="3"/>
  <c r="K10" i="3"/>
  <c r="M10" i="3" s="1"/>
  <c r="L9" i="3"/>
  <c r="K9" i="3"/>
  <c r="M9" i="3" s="1"/>
  <c r="L8" i="3"/>
  <c r="K8" i="3"/>
  <c r="M8" i="3" s="1"/>
  <c r="L7" i="3"/>
  <c r="K7" i="3"/>
  <c r="M7" i="3" s="1"/>
  <c r="L6" i="3"/>
  <c r="K6" i="3"/>
  <c r="M6" i="3" s="1"/>
  <c r="M5" i="3"/>
  <c r="L5" i="3"/>
  <c r="K5" i="3"/>
  <c r="L4" i="3"/>
  <c r="K4" i="3"/>
  <c r="M4" i="3" s="1"/>
  <c r="L3" i="3"/>
  <c r="K3" i="3"/>
  <c r="M3" i="3" s="1"/>
  <c r="L2" i="3"/>
  <c r="K2" i="3"/>
  <c r="M2" i="3" s="1"/>
  <c r="L51" i="2"/>
  <c r="K51" i="2"/>
  <c r="M51" i="2" s="1"/>
  <c r="L50" i="2"/>
  <c r="K50" i="2"/>
  <c r="M50" i="2" s="1"/>
  <c r="L49" i="2"/>
  <c r="K49" i="2"/>
  <c r="M49" i="2" s="1"/>
  <c r="L48" i="2"/>
  <c r="K48" i="2"/>
  <c r="M48" i="2" s="1"/>
  <c r="L47" i="2"/>
  <c r="K47" i="2"/>
  <c r="M47" i="2" s="1"/>
  <c r="M46" i="2"/>
  <c r="L46" i="2"/>
  <c r="K46" i="2"/>
  <c r="L45" i="2"/>
  <c r="K45" i="2"/>
  <c r="M45" i="2" s="1"/>
  <c r="L44" i="2"/>
  <c r="K44" i="2"/>
  <c r="M44" i="2" s="1"/>
  <c r="L43" i="2"/>
  <c r="K43" i="2"/>
  <c r="M43" i="2" s="1"/>
  <c r="L42" i="2"/>
  <c r="K42" i="2"/>
  <c r="M42" i="2" s="1"/>
  <c r="L41" i="2"/>
  <c r="K41" i="2"/>
  <c r="M41" i="2" s="1"/>
  <c r="L40" i="2"/>
  <c r="K40" i="2"/>
  <c r="M40" i="2" s="1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L33" i="2"/>
  <c r="K33" i="2"/>
  <c r="M33" i="2" s="1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L28" i="2"/>
  <c r="K28" i="2"/>
  <c r="M28" i="2" s="1"/>
  <c r="L27" i="2"/>
  <c r="K27" i="2"/>
  <c r="M27" i="2" s="1"/>
  <c r="L26" i="2"/>
  <c r="K26" i="2"/>
  <c r="M26" i="2" s="1"/>
  <c r="L25" i="2"/>
  <c r="K25" i="2"/>
  <c r="M25" i="2" s="1"/>
  <c r="L24" i="2"/>
  <c r="K24" i="2"/>
  <c r="M24" i="2" s="1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<sst xmlns="http://schemas.openxmlformats.org/spreadsheetml/2006/main" count="945" uniqueCount="81">
  <si>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</si>
  <si>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</si>
  <si>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</si>
  <si>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</si>
  <si>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</si>
  <si>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</si>
  <si>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</si>
  <si>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</si>
  <si>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</si>
  <si>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</si>
  <si>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</si>
  <si>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</si>
  <si>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</si>
  <si>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</si>
  <si>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</si>
  <si>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</si>
  <si>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</si>
  <si>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</si>
  <si>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</si>
  <si>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</si>
  <si>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</si>
  <si>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</si>
  <si>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</si>
  <si>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</si>
  <si>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</si>
  <si>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</si>
  <si>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</si>
  <si>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</si>
  <si>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</si>
  <si>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</si>
  <si>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</si>
  <si>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</si>
  <si>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</si>
  <si>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</si>
  <si>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</si>
  <si>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</si>
  <si>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</si>
  <si>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</si>
  <si>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</si>
  <si>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</si>
  <si>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</si>
  <si>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</si>
  <si>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</si>
  <si>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</si>
  <si>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</si>
  <si>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</si>
  <si>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</si>
  <si>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</si>
  <si>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</si>
  <si>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</si>
  <si>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</si>
  <si>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</si>
  <si>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</si>
  <si>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</si>
  <si>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G-WATCH-ULTRA</t>
  </si>
  <si>
    <t>G-TAB-A9</t>
  </si>
  <si>
    <t>G-TAB-A9+</t>
  </si>
  <si>
    <t>SM-X520NLBETPA</t>
  </si>
  <si>
    <t>SM-X520NZAETPA</t>
  </si>
  <si>
    <t>SM-X620NLBETPA</t>
  </si>
  <si>
    <t>SM-X620NZAETPA</t>
  </si>
  <si>
    <t>SM-X620NZSETPA</t>
  </si>
  <si>
    <t>A2S3A0A250000225</t>
  </si>
  <si>
    <t>A0S3A0A250000641</t>
  </si>
  <si>
    <t>VITEL W24-W26 ECO ST Promo</t>
  </si>
  <si>
    <t>A2S3A0A250000227</t>
  </si>
  <si>
    <t>A0S3A0A250000649</t>
  </si>
  <si>
    <t>VITEL W24-W26 A9 Series Promotion</t>
  </si>
  <si>
    <t>A2S3A0A250000241</t>
  </si>
  <si>
    <t>A0S3A0A250000679</t>
  </si>
  <si>
    <t>VITEL W26 NRM Sell-Thru Promotion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</si>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</sst>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O51"/>
  <sheetViews>
    <sheetView showGridLines="0" zoomScale="85" zoomScaleNormal="85" workbookViewId="0">
      <pane ySplit="1" topLeftCell="A2" activePane="bottomLeft" state="frozen"/>
      <selection pane="bottomLeft" activeCell="J2" sqref="J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103</v>
      </c>
      <c r="K3" s="4">
        <f t="shared" si="0"/>
        <v>3090</v>
      </c>
      <c r="L3" s="6">
        <f t="shared" si="1"/>
        <v>-282</v>
      </c>
      <c r="M3" s="5">
        <f t="shared" si="1"/>
        <v>-8460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140</v>
      </c>
      <c r="K5" s="4">
        <f t="shared" si="0"/>
        <v>4200</v>
      </c>
      <c r="L5" s="6">
        <f t="shared" si="1"/>
        <v>-208</v>
      </c>
      <c r="M5" s="5">
        <f t="shared" si="1"/>
        <v>-6240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95</v>
      </c>
      <c r="K7" s="4">
        <f t="shared" si="0"/>
        <v>2850</v>
      </c>
      <c r="L7" s="6">
        <f t="shared" si="1"/>
        <v>-252</v>
      </c>
      <c r="M7" s="5">
        <f t="shared" si="1"/>
        <v>-7560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10</v>
      </c>
      <c r="K12" s="4">
        <f t="shared" si="0"/>
        <v>300</v>
      </c>
      <c r="L12" s="6">
        <f t="shared" si="1"/>
        <v>-152</v>
      </c>
      <c r="M12" s="5">
        <f t="shared" si="1"/>
        <v>-4560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36</v>
      </c>
      <c r="K14" s="4">
        <f t="shared" si="0"/>
        <v>1080</v>
      </c>
      <c r="L14" s="6">
        <f t="shared" si="1"/>
        <v>-167</v>
      </c>
      <c r="M14" s="5">
        <f t="shared" si="1"/>
        <v>-5010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15</v>
      </c>
      <c r="K16" s="4">
        <f t="shared" si="0"/>
        <v>450</v>
      </c>
      <c r="L16" s="6">
        <f t="shared" si="1"/>
        <v>-186</v>
      </c>
      <c r="M16" s="5">
        <f t="shared" si="1"/>
        <v>-5580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16</v>
      </c>
      <c r="K18" s="4">
        <f t="shared" si="0"/>
        <v>480</v>
      </c>
      <c r="L18" s="6">
        <f t="shared" si="1"/>
        <v>-77</v>
      </c>
      <c r="M18" s="5">
        <f t="shared" si="1"/>
        <v>-2310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15</v>
      </c>
      <c r="K19" s="4">
        <f t="shared" si="0"/>
        <v>450</v>
      </c>
      <c r="L19" s="6">
        <f t="shared" si="1"/>
        <v>-101</v>
      </c>
      <c r="M19" s="5">
        <f t="shared" si="1"/>
        <v>-3030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15</v>
      </c>
      <c r="K20" s="4">
        <f t="shared" si="0"/>
        <v>450</v>
      </c>
      <c r="L20" s="6">
        <f t="shared" si="1"/>
        <v>-170</v>
      </c>
      <c r="M20" s="5">
        <f t="shared" si="1"/>
        <v>-5100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26</v>
      </c>
      <c r="K21" s="4">
        <f t="shared" si="0"/>
        <v>780</v>
      </c>
      <c r="L21" s="6">
        <f t="shared" si="1"/>
        <v>-105</v>
      </c>
      <c r="M21" s="5">
        <f t="shared" si="1"/>
        <v>-3150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15</v>
      </c>
      <c r="K22" s="4">
        <f t="shared" si="0"/>
        <v>450</v>
      </c>
      <c r="L22" s="6">
        <f t="shared" si="1"/>
        <v>-120</v>
      </c>
      <c r="M22" s="5">
        <f t="shared" si="1"/>
        <v>-3600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3980</v>
      </c>
      <c r="K25" s="4">
        <f t="shared" si="0"/>
        <v>39800</v>
      </c>
      <c r="L25" s="6">
        <f t="shared" si="2"/>
        <v>2860</v>
      </c>
      <c r="M25" s="5">
        <f t="shared" si="2"/>
        <v>28600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231</v>
      </c>
      <c r="K28" s="4">
        <f t="shared" si="0"/>
        <v>2310</v>
      </c>
      <c r="L28" s="6">
        <f t="shared" si="2"/>
        <v>-189</v>
      </c>
      <c r="M28" s="5">
        <f t="shared" si="2"/>
        <v>-1890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475</v>
      </c>
      <c r="K29" s="4">
        <f t="shared" si="0"/>
        <v>4750</v>
      </c>
      <c r="L29" s="6">
        <f t="shared" si="2"/>
        <v>-225</v>
      </c>
      <c r="M29" s="5">
        <f t="shared" si="2"/>
        <v>-2250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323</v>
      </c>
      <c r="K35" s="4">
        <f t="shared" si="0"/>
        <v>9690</v>
      </c>
      <c r="L35" s="6">
        <f t="shared" si="2"/>
        <v>183</v>
      </c>
      <c r="M35" s="5">
        <f t="shared" si="2"/>
        <v>5490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1094</v>
      </c>
      <c r="K38" s="4">
        <f t="shared" si="0"/>
        <v>10940</v>
      </c>
      <c r="L38" s="6">
        <f t="shared" si="2"/>
        <v>350</v>
      </c>
      <c r="M38" s="5">
        <f t="shared" si="2"/>
        <v>3500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1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showGridLines="0" topLeftCell="C1" workbookViewId="0">
      <pane ySplit="1" topLeftCell="A2" activePane="bottomLeft" state="frozen"/>
      <selection pane="bottomLeft" activeCell="P2" sqref="P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22" si="0">J2*G2</f>
        <v>3420</v>
      </c>
      <c r="L2" s="6">
        <f t="shared" ref="L2:L22" si="1">J2-H2</f>
        <v>-47</v>
      </c>
      <c r="M2" s="5">
        <f t="shared" ref="M2:M22" si="2">K2-I2</f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103</v>
      </c>
      <c r="K3" s="4">
        <f t="shared" si="0"/>
        <v>3090</v>
      </c>
      <c r="L3" s="6">
        <f t="shared" si="1"/>
        <v>-282</v>
      </c>
      <c r="M3" s="5">
        <f t="shared" si="2"/>
        <v>-8460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2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140</v>
      </c>
      <c r="K5" s="4">
        <f t="shared" si="0"/>
        <v>4200</v>
      </c>
      <c r="L5" s="6">
        <f t="shared" si="1"/>
        <v>-208</v>
      </c>
      <c r="M5" s="5">
        <f t="shared" si="2"/>
        <v>-6240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2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95</v>
      </c>
      <c r="K7" s="4">
        <f t="shared" si="0"/>
        <v>2850</v>
      </c>
      <c r="L7" s="6">
        <f t="shared" si="1"/>
        <v>-252</v>
      </c>
      <c r="M7" s="5">
        <f t="shared" si="2"/>
        <v>-7560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2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2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2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2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10</v>
      </c>
      <c r="K12" s="4">
        <f t="shared" si="0"/>
        <v>300</v>
      </c>
      <c r="L12" s="6">
        <f t="shared" si="1"/>
        <v>-152</v>
      </c>
      <c r="M12" s="5">
        <f t="shared" si="2"/>
        <v>-4560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2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36</v>
      </c>
      <c r="K14" s="4">
        <f t="shared" si="0"/>
        <v>1080</v>
      </c>
      <c r="L14" s="6">
        <f t="shared" si="1"/>
        <v>-167</v>
      </c>
      <c r="M14" s="5">
        <f t="shared" si="2"/>
        <v>-5010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2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15</v>
      </c>
      <c r="K16" s="4">
        <f t="shared" si="0"/>
        <v>450</v>
      </c>
      <c r="L16" s="6">
        <f t="shared" si="1"/>
        <v>-186</v>
      </c>
      <c r="M16" s="5">
        <f t="shared" si="2"/>
        <v>-5580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2"/>
        <v>-90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16</v>
      </c>
      <c r="K18" s="4">
        <f t="shared" si="0"/>
        <v>480</v>
      </c>
      <c r="L18" s="6">
        <f t="shared" si="1"/>
        <v>-77</v>
      </c>
      <c r="M18" s="5">
        <f t="shared" si="2"/>
        <v>-2310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15</v>
      </c>
      <c r="K19" s="4">
        <f t="shared" si="0"/>
        <v>450</v>
      </c>
      <c r="L19" s="6">
        <f t="shared" si="1"/>
        <v>-101</v>
      </c>
      <c r="M19" s="5">
        <f t="shared" si="2"/>
        <v>-3030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15</v>
      </c>
      <c r="K20" s="4">
        <f t="shared" si="0"/>
        <v>450</v>
      </c>
      <c r="L20" s="6">
        <f t="shared" si="1"/>
        <v>-170</v>
      </c>
      <c r="M20" s="5">
        <f t="shared" si="2"/>
        <v>-5100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26</v>
      </c>
      <c r="K21" s="4">
        <f t="shared" si="0"/>
        <v>780</v>
      </c>
      <c r="L21" s="6">
        <f t="shared" si="1"/>
        <v>-105</v>
      </c>
      <c r="M21" s="5">
        <f t="shared" si="2"/>
        <v>-3150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15</v>
      </c>
      <c r="K22" s="4">
        <f t="shared" si="0"/>
        <v>450</v>
      </c>
      <c r="L22" s="6">
        <f t="shared" si="1"/>
        <v>-120</v>
      </c>
      <c r="M22" s="5">
        <f t="shared" si="2"/>
        <v>-3600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ref="K23:K37" si="3">J23*G23</f>
        <v>8250</v>
      </c>
      <c r="L23" s="6">
        <f t="shared" ref="L23:L37" si="4">J23-H23</f>
        <v>545</v>
      </c>
      <c r="M23" s="5">
        <f t="shared" ref="M23:M37" si="5">K23-I23</f>
        <v>8175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3"/>
        <v>6450</v>
      </c>
      <c r="L24" s="6">
        <f t="shared" si="4"/>
        <v>425</v>
      </c>
      <c r="M24" s="5">
        <f t="shared" si="5"/>
        <v>6375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1825</v>
      </c>
      <c r="K25" s="4">
        <f t="shared" si="3"/>
        <v>18250</v>
      </c>
      <c r="L25" s="6">
        <f t="shared" si="4"/>
        <v>705</v>
      </c>
      <c r="M25" s="5">
        <f t="shared" si="5"/>
        <v>7050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3"/>
        <v>0</v>
      </c>
      <c r="L26" s="6">
        <f t="shared" si="4"/>
        <v>-280</v>
      </c>
      <c r="M26" s="5">
        <f t="shared" si="5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3"/>
        <v>2600</v>
      </c>
      <c r="L27" s="6">
        <f t="shared" si="4"/>
        <v>-500</v>
      </c>
      <c r="M27" s="5">
        <f t="shared" si="5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170</v>
      </c>
      <c r="K28" s="4">
        <f t="shared" si="3"/>
        <v>1700</v>
      </c>
      <c r="L28" s="6">
        <f t="shared" si="4"/>
        <v>-250</v>
      </c>
      <c r="M28" s="5">
        <f t="shared" si="5"/>
        <v>-2500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395</v>
      </c>
      <c r="K29" s="4">
        <f t="shared" si="3"/>
        <v>3950</v>
      </c>
      <c r="L29" s="6">
        <f t="shared" si="4"/>
        <v>-305</v>
      </c>
      <c r="M29" s="5">
        <f t="shared" si="5"/>
        <v>-3050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3"/>
        <v>0</v>
      </c>
      <c r="L30" s="6">
        <f t="shared" si="4"/>
        <v>-7</v>
      </c>
      <c r="M30" s="5">
        <f t="shared" si="5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3"/>
        <v>0</v>
      </c>
      <c r="L31" s="6">
        <f t="shared" si="4"/>
        <v>-7</v>
      </c>
      <c r="M31" s="5">
        <f t="shared" si="5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3"/>
        <v>1200</v>
      </c>
      <c r="L32" s="6">
        <f t="shared" si="4"/>
        <v>-65</v>
      </c>
      <c r="M32" s="5">
        <f t="shared" si="5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3"/>
        <v>0</v>
      </c>
      <c r="L33" s="6">
        <f t="shared" si="4"/>
        <v>-42</v>
      </c>
      <c r="M33" s="5">
        <f t="shared" si="5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3"/>
        <v>13320</v>
      </c>
      <c r="L34" s="6">
        <f t="shared" si="4"/>
        <v>402</v>
      </c>
      <c r="M34" s="5">
        <f t="shared" si="5"/>
        <v>12060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3"/>
        <v>8460</v>
      </c>
      <c r="L35" s="6">
        <f t="shared" si="4"/>
        <v>142</v>
      </c>
      <c r="M35" s="5">
        <f t="shared" si="5"/>
        <v>4260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3"/>
        <v>0</v>
      </c>
      <c r="L36" s="6">
        <f t="shared" si="4"/>
        <v>-4</v>
      </c>
      <c r="M36" s="5">
        <f t="shared" si="5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3"/>
        <v>0</v>
      </c>
      <c r="L37" s="6">
        <f t="shared" si="4"/>
        <v>-4</v>
      </c>
      <c r="M37" s="5">
        <f t="shared" si="5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0</v>
      </c>
      <c r="K38" s="4">
        <f t="shared" ref="K38:K51" si="6">J38*G38</f>
        <v>0</v>
      </c>
      <c r="L38" s="6">
        <f t="shared" ref="L38:L51" si="7">J38-H38</f>
        <v>-744</v>
      </c>
      <c r="M38" s="5">
        <f t="shared" ref="M38:M51" si="8">K38-I38</f>
        <v>-7440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6"/>
        <v>14770</v>
      </c>
      <c r="L39" s="6">
        <f t="shared" si="7"/>
        <v>1015</v>
      </c>
      <c r="M39" s="5">
        <f t="shared" si="8"/>
        <v>10150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6"/>
        <v>725</v>
      </c>
      <c r="L40" s="6">
        <f t="shared" si="7"/>
        <v>34</v>
      </c>
      <c r="M40" s="5">
        <f t="shared" si="8"/>
        <v>170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6"/>
        <v>0</v>
      </c>
      <c r="L41" s="6">
        <f t="shared" si="7"/>
        <v>-147</v>
      </c>
      <c r="M41" s="5">
        <f t="shared" si="8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6"/>
        <v>0</v>
      </c>
      <c r="L42" s="6">
        <f t="shared" si="7"/>
        <v>-247</v>
      </c>
      <c r="M42" s="5">
        <f t="shared" si="8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6"/>
        <v>0</v>
      </c>
      <c r="L43" s="6">
        <f t="shared" si="7"/>
        <v>-211</v>
      </c>
      <c r="M43" s="5">
        <f t="shared" si="8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6"/>
        <v>0</v>
      </c>
      <c r="L44" s="6">
        <f t="shared" si="7"/>
        <v>-19</v>
      </c>
      <c r="M44" s="5">
        <f t="shared" si="8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6"/>
        <v>0</v>
      </c>
      <c r="L45" s="6">
        <f t="shared" si="7"/>
        <v>-63</v>
      </c>
      <c r="M45" s="5">
        <f t="shared" si="8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6"/>
        <v>4500</v>
      </c>
      <c r="L46" s="6">
        <f t="shared" si="7"/>
        <v>48</v>
      </c>
      <c r="M46" s="5">
        <f t="shared" si="8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6"/>
        <v>0</v>
      </c>
      <c r="L47" s="6">
        <f t="shared" si="7"/>
        <v>-43</v>
      </c>
      <c r="M47" s="5">
        <f t="shared" si="8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6"/>
        <v>3000</v>
      </c>
      <c r="L48" s="6">
        <f t="shared" si="7"/>
        <v>62</v>
      </c>
      <c r="M48" s="5">
        <f t="shared" si="8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6"/>
        <v>23940</v>
      </c>
      <c r="L49" s="6">
        <f t="shared" si="7"/>
        <v>630</v>
      </c>
      <c r="M49" s="5">
        <f t="shared" si="8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6"/>
        <v>0</v>
      </c>
      <c r="L50" s="6">
        <f t="shared" si="7"/>
        <v>-44</v>
      </c>
      <c r="M50" s="5">
        <f t="shared" si="8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6"/>
        <v>0</v>
      </c>
      <c r="L51" s="6">
        <f t="shared" si="7"/>
        <v>-44</v>
      </c>
      <c r="M51" s="5">
        <f t="shared" si="8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6C80-80DD-4409-A4B0-30479875F44B}">
  <dimension ref="A1:O51"/>
  <sheetViews>
    <sheetView showGridLines="0" tabSelected="1" zoomScale="85" zoomScaleNormal="85" workbookViewId="0">
      <pane ySplit="1" topLeftCell="A2" activePane="bottomLeft" state="frozen"/>
      <selection pane="bottomLeft" activeCell="K32" sqref="K3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153</v>
      </c>
      <c r="K3" s="4">
        <f t="shared" si="0"/>
        <v>4590</v>
      </c>
      <c r="L3" s="6">
        <f t="shared" si="1"/>
        <v>-232</v>
      </c>
      <c r="M3" s="5">
        <f t="shared" si="1"/>
        <v>-6960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240</v>
      </c>
      <c r="K5" s="4">
        <f t="shared" si="0"/>
        <v>7200</v>
      </c>
      <c r="L5" s="6">
        <f t="shared" si="1"/>
        <v>-108</v>
      </c>
      <c r="M5" s="5">
        <f t="shared" si="1"/>
        <v>-3240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115</v>
      </c>
      <c r="K7" s="4">
        <f t="shared" si="0"/>
        <v>3450</v>
      </c>
      <c r="L7" s="6">
        <f t="shared" si="1"/>
        <v>-232</v>
      </c>
      <c r="M7" s="5">
        <f t="shared" si="1"/>
        <v>-6960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15</v>
      </c>
      <c r="K12" s="4">
        <f t="shared" si="0"/>
        <v>450</v>
      </c>
      <c r="L12" s="6">
        <f t="shared" si="1"/>
        <v>-147</v>
      </c>
      <c r="M12" s="5">
        <f t="shared" si="1"/>
        <v>-4410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41</v>
      </c>
      <c r="K14" s="4">
        <f t="shared" si="0"/>
        <v>1230</v>
      </c>
      <c r="L14" s="6">
        <f t="shared" si="1"/>
        <v>-162</v>
      </c>
      <c r="M14" s="5">
        <f t="shared" si="1"/>
        <v>-4860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</v>
      </c>
      <c r="K16" s="4">
        <f t="shared" si="0"/>
        <v>600</v>
      </c>
      <c r="L16" s="6">
        <f t="shared" si="1"/>
        <v>-181</v>
      </c>
      <c r="M16" s="5">
        <f t="shared" si="1"/>
        <v>-5430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36</v>
      </c>
      <c r="K18" s="4">
        <f t="shared" si="0"/>
        <v>1080</v>
      </c>
      <c r="L18" s="6">
        <f t="shared" si="1"/>
        <v>-57</v>
      </c>
      <c r="M18" s="5">
        <f t="shared" si="1"/>
        <v>-1710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20</v>
      </c>
      <c r="K19" s="4">
        <f t="shared" si="0"/>
        <v>600</v>
      </c>
      <c r="L19" s="6">
        <f t="shared" si="1"/>
        <v>-96</v>
      </c>
      <c r="M19" s="5">
        <f t="shared" si="1"/>
        <v>-2880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20</v>
      </c>
      <c r="K20" s="4">
        <f t="shared" si="0"/>
        <v>600</v>
      </c>
      <c r="L20" s="6">
        <f t="shared" si="1"/>
        <v>-165</v>
      </c>
      <c r="M20" s="5">
        <f t="shared" si="1"/>
        <v>-4950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36</v>
      </c>
      <c r="K21" s="4">
        <f t="shared" si="0"/>
        <v>1080</v>
      </c>
      <c r="L21" s="6">
        <f t="shared" si="1"/>
        <v>-95</v>
      </c>
      <c r="M21" s="5">
        <f t="shared" si="1"/>
        <v>-2850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25</v>
      </c>
      <c r="K22" s="4">
        <f t="shared" si="0"/>
        <v>750</v>
      </c>
      <c r="L22" s="6">
        <f t="shared" si="1"/>
        <v>-110</v>
      </c>
      <c r="M22" s="5">
        <f t="shared" si="1"/>
        <v>-3300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3493</v>
      </c>
      <c r="K25" s="4">
        <f t="shared" si="0"/>
        <v>34930</v>
      </c>
      <c r="L25" s="6">
        <f t="shared" si="2"/>
        <v>2373</v>
      </c>
      <c r="M25" s="5">
        <f t="shared" si="2"/>
        <v>23730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170</v>
      </c>
      <c r="K28" s="4">
        <f t="shared" si="0"/>
        <v>1700</v>
      </c>
      <c r="L28" s="6">
        <f t="shared" si="2"/>
        <v>-250</v>
      </c>
      <c r="M28" s="5">
        <f t="shared" si="2"/>
        <v>-2500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395</v>
      </c>
      <c r="K29" s="4">
        <f t="shared" si="0"/>
        <v>3950</v>
      </c>
      <c r="L29" s="6">
        <f t="shared" si="2"/>
        <v>-305</v>
      </c>
      <c r="M29" s="5">
        <f t="shared" si="2"/>
        <v>-3050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0"/>
        <v>8460</v>
      </c>
      <c r="L35" s="6">
        <f t="shared" si="2"/>
        <v>142</v>
      </c>
      <c r="M35" s="5">
        <f t="shared" si="2"/>
        <v>4260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0</v>
      </c>
      <c r="K38" s="4">
        <f t="shared" si="0"/>
        <v>0</v>
      </c>
      <c r="L38" s="6">
        <f t="shared" si="2"/>
        <v>-744</v>
      </c>
      <c r="M38" s="5">
        <f t="shared" si="2"/>
        <v>-7440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1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+ Shipping</vt:lpstr>
      <vt:lpstr>Invoiced</vt:lpstr>
      <vt:lpstr>Survey + Shipping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2025-06-25T14:31:49Z</dcterms:modified>
  <cp:category/>
</cp:coreProperties>
</file>