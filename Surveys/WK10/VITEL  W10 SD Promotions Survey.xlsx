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0\"/>
    </mc:Choice>
  </mc:AlternateContent>
  <xr:revisionPtr revIDLastSave="0" documentId="13_ncr:1_{B6DA2229-AD31-43D2-B9BC-42436CE5D24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1" l="1"/>
  <c r="M33" i="1" s="1"/>
  <c r="K32" i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33" i="1"/>
  <c r="M32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<sst xmlns="http://schemas.openxmlformats.org/spreadsheetml/2006/main" count="207" uniqueCount="70">
  <si>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</si>
  <si>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</si>
  <si>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</si>
  <si>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</si>
  <si>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</si>
  <si>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</si>
  <si>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</si>
  <si>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</si>
  <si>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</si>
  <si>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G-Z-FLIP7</t>
  </si>
  <si>
    <t>G-Z-FLIP7-FE</t>
  </si>
  <si>
    <t>G-Z-FOLD7</t>
  </si>
  <si>
    <t>SM-S948BLBJGTO</t>
  </si>
  <si>
    <t>MOBILE,SM-S948B/DS,LIGHT BLUE,GTO</t>
  </si>
  <si>
    <t>SM-S948BLBKGTO</t>
  </si>
  <si>
    <t>SM-S948BLBUGTO</t>
  </si>
  <si>
    <t>SM-S948BZKJGTO</t>
  </si>
  <si>
    <t>MOBILE,SM-S948B/DS,BLACK,GTO</t>
  </si>
  <si>
    <t>SM-S948BZKKGTO</t>
  </si>
  <si>
    <t>SM-S948BZKUGTO</t>
  </si>
  <si>
    <t>SM-S948BZVJGTO</t>
  </si>
  <si>
    <t>MOBILE,SM-S948B/DS,VIOLET,GTO</t>
  </si>
  <si>
    <t>SM-S948BZVKGTO</t>
  </si>
  <si>
    <t>SM-S948BZVUGTO</t>
  </si>
  <si>
    <t>SM-S948BZWJGTO</t>
  </si>
  <si>
    <t>MOBILE,SM-S948B/DS,WHITE,GTO</t>
  </si>
  <si>
    <t>SM-S948BZWKGTO</t>
  </si>
  <si>
    <t>SM-S948BZWUGTO</t>
  </si>
  <si>
    <t>SM-S942BLBKGTO</t>
  </si>
  <si>
    <t>MOBILE,SM-S942B/DS,LIGHT BLUE,GTO</t>
  </si>
  <si>
    <t>SM-S942BLBUGTO</t>
  </si>
  <si>
    <t>SM-S942BZKKGTO</t>
  </si>
  <si>
    <t>MOBILE,SM-S942B/DS,BLACK,GTO</t>
  </si>
  <si>
    <t>SM-S942BZKUGTO</t>
  </si>
  <si>
    <t>SM-S942BZVKGTO</t>
  </si>
  <si>
    <t>MOBILE,SM-S942B/DS,VIOLET,GTO</t>
  </si>
  <si>
    <t>SM-S942BZVUGTO</t>
  </si>
  <si>
    <t>SM-S942BZWKGTO</t>
  </si>
  <si>
    <t>MOBILE,SM-S942B/DS,WHITE,GTO</t>
  </si>
  <si>
    <t>SM-S942BZWUGTO</t>
  </si>
  <si>
    <t>SM-S947BLBJGTO</t>
  </si>
  <si>
    <t>MOBILE,SM-S947B/DS,LIGHT BLUE,GTO</t>
  </si>
  <si>
    <t>SM-S947BLBKGTO</t>
  </si>
  <si>
    <t>SM-S947BZKJGTO</t>
  </si>
  <si>
    <t>MOBILE,SM-S947B/DS,BLACK,GTO</t>
  </si>
  <si>
    <t>SM-S947BZKKGTO</t>
  </si>
  <si>
    <t>SM-S947BZKLGTO</t>
  </si>
  <si>
    <t>MOBILE,SM-S947B,BLACK,GTO</t>
  </si>
  <si>
    <t>SM-S947BZVJGTO</t>
  </si>
  <si>
    <t>MOBILE,SM-S947B/DS,VIOLET,GTO</t>
  </si>
  <si>
    <t>SM-S947BZVKGTO</t>
  </si>
  <si>
    <t>SM-S947BZWJGTO</t>
  </si>
  <si>
    <t>MOBILE,SM-S947B/DS,WHITE,GTO</t>
  </si>
  <si>
    <t>SM-S947BZWKGTO</t>
  </si>
  <si>
    <t>A2S3A0A260000052</t>
  </si>
  <si>
    <t>A0S3A0A260000140</t>
  </si>
  <si>
    <t>VITEL W8-W10 Foldables Series Sustain ST Promo</t>
  </si>
  <si>
    <t>A0S3A0A260000184</t>
  </si>
  <si>
    <t>W10 VITEL S26 Ultra Launching Sell-Thru Promotion</t>
  </si>
  <si>
    <t>A2S3A0A260000065</t>
  </si>
  <si>
    <t>A2S3A0A260000067</t>
  </si>
  <si>
    <t>A0S3A0A260000194</t>
  </si>
  <si>
    <t>VITEL W10 OM S26+/S26 Launching Sell-Thru Promotion</t>
  </si>
  <si>
    <t>Incentive</t>
  </si>
  <si>
    <t>AS-IS Amt($)</t>
  </si>
  <si>
    <t>AS-IS Quantity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</si>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</sst>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showGridLines="0" tabSelected="1" workbookViewId="0">
      <pane ySplit="1" topLeftCell="A2" activePane="bottomLeft" state="frozen"/>
      <selection pane="bottomLeft" activeCell="J9" sqref="J9"/>
    </sheetView>
  </sheetViews>
  <sheetFormatPr defaultRowHeight="12.75" x14ac:dyDescent="0.2"/>
  <cols>
    <col min="1" max="1" width="22.42578125" bestFit="1" customWidth="1"/>
    <col min="2" max="2" width="55" bestFit="1" customWidth="1"/>
    <col min="3" max="3" width="28" bestFit="1" customWidth="1"/>
    <col min="4" max="4" width="32.7109375" bestFit="1" customWidth="1"/>
    <col min="5" max="5" width="16" bestFit="1" customWidth="1"/>
    <col min="6" max="6" width="31.425781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</v>
      </c>
      <c r="H1" s="1" t="s">
        <v>65</v>
      </c>
      <c r="I1" s="1" t="s">
        <v>64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6</v>
      </c>
      <c r="O1" s="1" t="s">
        <v>7</v>
      </c>
    </row>
    <row r="2" spans="1:15" x14ac:dyDescent="0.2">
      <c r="A2" s="2" t="s">
        <v>55</v>
      </c>
      <c r="B2" s="2" t="s">
        <v>56</v>
      </c>
      <c r="C2" s="2" t="s">
        <v>54</v>
      </c>
      <c r="D2" s="2" t="s">
        <v>8</v>
      </c>
      <c r="E2" s="2" t="s">
        <v>9</v>
      </c>
      <c r="F2" s="2" t="s">
        <v>9</v>
      </c>
      <c r="G2" s="4">
        <v>80</v>
      </c>
      <c r="H2" s="5">
        <v>1</v>
      </c>
      <c r="I2" s="4">
        <v>80</v>
      </c>
      <c r="J2" s="5">
        <v>1</v>
      </c>
      <c r="K2" s="4">
        <f t="shared" ref="K2:K16" si="0">J2*G2</f>
        <v>80</v>
      </c>
      <c r="L2" s="5">
        <f t="shared" ref="L2:L16" si="1">J2-H2</f>
        <v>0</v>
      </c>
      <c r="M2" s="4">
        <f t="shared" ref="M2:M16" si="2">K2-I2</f>
        <v>0</v>
      </c>
      <c r="N2" s="3">
        <v>46069</v>
      </c>
      <c r="O2" s="3">
        <v>46089</v>
      </c>
    </row>
    <row r="3" spans="1:15" x14ac:dyDescent="0.2">
      <c r="A3" s="2" t="s">
        <v>55</v>
      </c>
      <c r="B3" s="2" t="s">
        <v>56</v>
      </c>
      <c r="C3" s="2" t="s">
        <v>54</v>
      </c>
      <c r="D3" s="2" t="s">
        <v>8</v>
      </c>
      <c r="E3" s="2" t="s">
        <v>10</v>
      </c>
      <c r="F3" s="2" t="s">
        <v>10</v>
      </c>
      <c r="G3" s="4">
        <v>120</v>
      </c>
      <c r="H3" s="5">
        <v>76</v>
      </c>
      <c r="I3" s="4">
        <v>9120</v>
      </c>
      <c r="J3" s="5">
        <v>12</v>
      </c>
      <c r="K3" s="4">
        <f t="shared" si="0"/>
        <v>1440</v>
      </c>
      <c r="L3" s="5">
        <f t="shared" si="1"/>
        <v>-64</v>
      </c>
      <c r="M3" s="4">
        <f t="shared" si="2"/>
        <v>-7680</v>
      </c>
      <c r="N3" s="3">
        <v>46069</v>
      </c>
      <c r="O3" s="3">
        <v>46089</v>
      </c>
    </row>
    <row r="4" spans="1:15" x14ac:dyDescent="0.2">
      <c r="A4" s="2" t="s">
        <v>55</v>
      </c>
      <c r="B4" s="2" t="s">
        <v>56</v>
      </c>
      <c r="C4" s="2" t="s">
        <v>54</v>
      </c>
      <c r="D4" s="2" t="s">
        <v>8</v>
      </c>
      <c r="E4" s="2" t="s">
        <v>11</v>
      </c>
      <c r="F4" s="2" t="s">
        <v>11</v>
      </c>
      <c r="G4" s="4">
        <v>100</v>
      </c>
      <c r="H4" s="5">
        <v>11</v>
      </c>
      <c r="I4" s="4">
        <v>1100</v>
      </c>
      <c r="J4" s="5">
        <v>10</v>
      </c>
      <c r="K4" s="4">
        <f t="shared" si="0"/>
        <v>1000</v>
      </c>
      <c r="L4" s="5">
        <f t="shared" si="1"/>
        <v>-1</v>
      </c>
      <c r="M4" s="4">
        <f t="shared" si="2"/>
        <v>-100</v>
      </c>
      <c r="N4" s="3">
        <v>46069</v>
      </c>
      <c r="O4" s="3">
        <v>46089</v>
      </c>
    </row>
    <row r="5" spans="1:15" x14ac:dyDescent="0.2">
      <c r="A5" s="2" t="s">
        <v>57</v>
      </c>
      <c r="B5" s="2" t="s">
        <v>58</v>
      </c>
      <c r="C5" s="2" t="s">
        <v>59</v>
      </c>
      <c r="D5" s="2" t="s">
        <v>8</v>
      </c>
      <c r="E5" s="2" t="s">
        <v>12</v>
      </c>
      <c r="F5" s="2" t="s">
        <v>13</v>
      </c>
      <c r="G5" s="4">
        <v>50</v>
      </c>
      <c r="H5" s="5">
        <v>270</v>
      </c>
      <c r="I5" s="4">
        <v>13500</v>
      </c>
      <c r="J5" s="5">
        <v>180</v>
      </c>
      <c r="K5" s="4">
        <f t="shared" si="0"/>
        <v>9000</v>
      </c>
      <c r="L5" s="5">
        <f t="shared" si="1"/>
        <v>-90</v>
      </c>
      <c r="M5" s="4">
        <f t="shared" si="2"/>
        <v>-4500</v>
      </c>
      <c r="N5" s="3">
        <v>46083</v>
      </c>
      <c r="O5" s="3">
        <v>46089</v>
      </c>
    </row>
    <row r="6" spans="1:15" x14ac:dyDescent="0.2">
      <c r="A6" s="2" t="s">
        <v>57</v>
      </c>
      <c r="B6" s="2" t="s">
        <v>58</v>
      </c>
      <c r="C6" s="2" t="s">
        <v>59</v>
      </c>
      <c r="D6" s="2" t="s">
        <v>8</v>
      </c>
      <c r="E6" s="2" t="s">
        <v>14</v>
      </c>
      <c r="F6" s="2" t="s">
        <v>13</v>
      </c>
      <c r="G6" s="4">
        <v>80</v>
      </c>
      <c r="H6" s="5">
        <v>420</v>
      </c>
      <c r="I6" s="4">
        <v>33600</v>
      </c>
      <c r="J6" s="5">
        <v>170</v>
      </c>
      <c r="K6" s="4">
        <f t="shared" si="0"/>
        <v>13600</v>
      </c>
      <c r="L6" s="5">
        <f t="shared" si="1"/>
        <v>-250</v>
      </c>
      <c r="M6" s="4">
        <f t="shared" si="2"/>
        <v>-20000</v>
      </c>
      <c r="N6" s="3">
        <v>46083</v>
      </c>
      <c r="O6" s="3">
        <v>46089</v>
      </c>
    </row>
    <row r="7" spans="1:15" x14ac:dyDescent="0.2">
      <c r="A7" s="2" t="s">
        <v>57</v>
      </c>
      <c r="B7" s="2" t="s">
        <v>58</v>
      </c>
      <c r="C7" s="2" t="s">
        <v>59</v>
      </c>
      <c r="D7" s="2" t="s">
        <v>8</v>
      </c>
      <c r="E7" s="2" t="s">
        <v>15</v>
      </c>
      <c r="F7" s="2" t="s">
        <v>13</v>
      </c>
      <c r="G7" s="4">
        <v>120</v>
      </c>
      <c r="H7" s="5">
        <v>6</v>
      </c>
      <c r="I7" s="4">
        <v>720</v>
      </c>
      <c r="J7" s="5">
        <v>0</v>
      </c>
      <c r="K7" s="4">
        <f t="shared" si="0"/>
        <v>0</v>
      </c>
      <c r="L7" s="5">
        <f t="shared" si="1"/>
        <v>-6</v>
      </c>
      <c r="M7" s="4">
        <f t="shared" si="2"/>
        <v>-720</v>
      </c>
      <c r="N7" s="3">
        <v>46083</v>
      </c>
      <c r="O7" s="3">
        <v>46089</v>
      </c>
    </row>
    <row r="8" spans="1:15" x14ac:dyDescent="0.2">
      <c r="A8" s="2" t="s">
        <v>57</v>
      </c>
      <c r="B8" s="2" t="s">
        <v>58</v>
      </c>
      <c r="C8" s="2" t="s">
        <v>59</v>
      </c>
      <c r="D8" s="2" t="s">
        <v>8</v>
      </c>
      <c r="E8" s="2" t="s">
        <v>16</v>
      </c>
      <c r="F8" s="2" t="s">
        <v>17</v>
      </c>
      <c r="G8" s="4">
        <v>50</v>
      </c>
      <c r="H8" s="5">
        <v>570</v>
      </c>
      <c r="I8" s="4">
        <v>28500</v>
      </c>
      <c r="J8" s="5">
        <v>25</v>
      </c>
      <c r="K8" s="4">
        <f t="shared" si="0"/>
        <v>1250</v>
      </c>
      <c r="L8" s="5">
        <f t="shared" si="1"/>
        <v>-545</v>
      </c>
      <c r="M8" s="4">
        <f t="shared" si="2"/>
        <v>-27250</v>
      </c>
      <c r="N8" s="3">
        <v>46083</v>
      </c>
      <c r="O8" s="3">
        <v>46089</v>
      </c>
    </row>
    <row r="9" spans="1:15" x14ac:dyDescent="0.2">
      <c r="A9" s="2" t="s">
        <v>57</v>
      </c>
      <c r="B9" s="2" t="s">
        <v>58</v>
      </c>
      <c r="C9" s="2" t="s">
        <v>59</v>
      </c>
      <c r="D9" s="2" t="s">
        <v>8</v>
      </c>
      <c r="E9" s="2" t="s">
        <v>18</v>
      </c>
      <c r="F9" s="2" t="s">
        <v>17</v>
      </c>
      <c r="G9" s="4">
        <v>80</v>
      </c>
      <c r="H9" s="5">
        <v>1998</v>
      </c>
      <c r="I9" s="4">
        <v>159840</v>
      </c>
      <c r="J9" s="5">
        <v>48</v>
      </c>
      <c r="K9" s="4">
        <f t="shared" si="0"/>
        <v>3840</v>
      </c>
      <c r="L9" s="5">
        <f t="shared" si="1"/>
        <v>-1950</v>
      </c>
      <c r="M9" s="4">
        <f t="shared" si="2"/>
        <v>-156000</v>
      </c>
      <c r="N9" s="3">
        <v>46083</v>
      </c>
      <c r="O9" s="3">
        <v>46089</v>
      </c>
    </row>
    <row r="10" spans="1:15" x14ac:dyDescent="0.2">
      <c r="A10" s="2" t="s">
        <v>57</v>
      </c>
      <c r="B10" s="2" t="s">
        <v>58</v>
      </c>
      <c r="C10" s="2" t="s">
        <v>59</v>
      </c>
      <c r="D10" s="2" t="s">
        <v>8</v>
      </c>
      <c r="E10" s="2" t="s">
        <v>19</v>
      </c>
      <c r="F10" s="2" t="s">
        <v>17</v>
      </c>
      <c r="G10" s="4">
        <v>120</v>
      </c>
      <c r="H10" s="5">
        <v>6</v>
      </c>
      <c r="I10" s="4">
        <v>720</v>
      </c>
      <c r="J10" s="5">
        <v>0</v>
      </c>
      <c r="K10" s="4">
        <f t="shared" si="0"/>
        <v>0</v>
      </c>
      <c r="L10" s="5">
        <f t="shared" si="1"/>
        <v>-6</v>
      </c>
      <c r="M10" s="4">
        <f t="shared" si="2"/>
        <v>-720</v>
      </c>
      <c r="N10" s="3">
        <v>46083</v>
      </c>
      <c r="O10" s="3">
        <v>46089</v>
      </c>
    </row>
    <row r="11" spans="1:15" x14ac:dyDescent="0.2">
      <c r="A11" s="2" t="s">
        <v>57</v>
      </c>
      <c r="B11" s="2" t="s">
        <v>58</v>
      </c>
      <c r="C11" s="2" t="s">
        <v>59</v>
      </c>
      <c r="D11" s="2" t="s">
        <v>8</v>
      </c>
      <c r="E11" s="2" t="s">
        <v>20</v>
      </c>
      <c r="F11" s="2" t="s">
        <v>21</v>
      </c>
      <c r="G11" s="4">
        <v>50</v>
      </c>
      <c r="H11" s="5">
        <v>425</v>
      </c>
      <c r="I11" s="4">
        <v>21250</v>
      </c>
      <c r="J11" s="5">
        <v>0</v>
      </c>
      <c r="K11" s="4">
        <f t="shared" si="0"/>
        <v>0</v>
      </c>
      <c r="L11" s="5">
        <f t="shared" si="1"/>
        <v>-425</v>
      </c>
      <c r="M11" s="4">
        <f t="shared" si="2"/>
        <v>-21250</v>
      </c>
      <c r="N11" s="3">
        <v>46083</v>
      </c>
      <c r="O11" s="3">
        <v>46089</v>
      </c>
    </row>
    <row r="12" spans="1:15" x14ac:dyDescent="0.2">
      <c r="A12" s="2" t="s">
        <v>57</v>
      </c>
      <c r="B12" s="2" t="s">
        <v>58</v>
      </c>
      <c r="C12" s="2" t="s">
        <v>59</v>
      </c>
      <c r="D12" s="2" t="s">
        <v>8</v>
      </c>
      <c r="E12" s="2" t="s">
        <v>22</v>
      </c>
      <c r="F12" s="2" t="s">
        <v>21</v>
      </c>
      <c r="G12" s="4">
        <v>80</v>
      </c>
      <c r="H12" s="5">
        <v>984</v>
      </c>
      <c r="I12" s="4">
        <v>78720</v>
      </c>
      <c r="J12" s="5">
        <v>142</v>
      </c>
      <c r="K12" s="4">
        <f t="shared" si="0"/>
        <v>11360</v>
      </c>
      <c r="L12" s="5">
        <f t="shared" si="1"/>
        <v>-842</v>
      </c>
      <c r="M12" s="4">
        <f t="shared" si="2"/>
        <v>-67360</v>
      </c>
      <c r="N12" s="3">
        <v>46083</v>
      </c>
      <c r="O12" s="3">
        <v>46089</v>
      </c>
    </row>
    <row r="13" spans="1:15" x14ac:dyDescent="0.2">
      <c r="A13" s="2" t="s">
        <v>57</v>
      </c>
      <c r="B13" s="2" t="s">
        <v>58</v>
      </c>
      <c r="C13" s="2" t="s">
        <v>59</v>
      </c>
      <c r="D13" s="2" t="s">
        <v>8</v>
      </c>
      <c r="E13" s="2" t="s">
        <v>23</v>
      </c>
      <c r="F13" s="2" t="s">
        <v>21</v>
      </c>
      <c r="G13" s="4">
        <v>120</v>
      </c>
      <c r="H13" s="5">
        <v>6</v>
      </c>
      <c r="I13" s="4">
        <v>720</v>
      </c>
      <c r="J13" s="5">
        <v>0</v>
      </c>
      <c r="K13" s="4">
        <f t="shared" si="0"/>
        <v>0</v>
      </c>
      <c r="L13" s="5">
        <f t="shared" si="1"/>
        <v>-6</v>
      </c>
      <c r="M13" s="4">
        <f t="shared" si="2"/>
        <v>-720</v>
      </c>
      <c r="N13" s="3">
        <v>46083</v>
      </c>
      <c r="O13" s="3">
        <v>46089</v>
      </c>
    </row>
    <row r="14" spans="1:15" x14ac:dyDescent="0.2">
      <c r="A14" s="2" t="s">
        <v>57</v>
      </c>
      <c r="B14" s="2" t="s">
        <v>58</v>
      </c>
      <c r="C14" s="2" t="s">
        <v>59</v>
      </c>
      <c r="D14" s="2" t="s">
        <v>8</v>
      </c>
      <c r="E14" s="2" t="s">
        <v>24</v>
      </c>
      <c r="F14" s="2" t="s">
        <v>25</v>
      </c>
      <c r="G14" s="4">
        <v>50</v>
      </c>
      <c r="H14" s="5">
        <v>210</v>
      </c>
      <c r="I14" s="4">
        <v>10500</v>
      </c>
      <c r="J14" s="5">
        <v>0</v>
      </c>
      <c r="K14" s="4">
        <f t="shared" si="0"/>
        <v>0</v>
      </c>
      <c r="L14" s="5">
        <f t="shared" si="1"/>
        <v>-210</v>
      </c>
      <c r="M14" s="4">
        <f t="shared" si="2"/>
        <v>-10500</v>
      </c>
      <c r="N14" s="3">
        <v>46083</v>
      </c>
      <c r="O14" s="3">
        <v>46089</v>
      </c>
    </row>
    <row r="15" spans="1:15" x14ac:dyDescent="0.2">
      <c r="A15" s="2" t="s">
        <v>57</v>
      </c>
      <c r="B15" s="2" t="s">
        <v>58</v>
      </c>
      <c r="C15" s="2" t="s">
        <v>59</v>
      </c>
      <c r="D15" s="2" t="s">
        <v>8</v>
      </c>
      <c r="E15" s="2" t="s">
        <v>26</v>
      </c>
      <c r="F15" s="2" t="s">
        <v>25</v>
      </c>
      <c r="G15" s="4">
        <v>80</v>
      </c>
      <c r="H15" s="5">
        <v>312</v>
      </c>
      <c r="I15" s="4">
        <v>24960</v>
      </c>
      <c r="J15" s="5">
        <v>380</v>
      </c>
      <c r="K15" s="4">
        <f t="shared" si="0"/>
        <v>30400</v>
      </c>
      <c r="L15" s="5">
        <f t="shared" si="1"/>
        <v>68</v>
      </c>
      <c r="M15" s="4">
        <f t="shared" si="2"/>
        <v>5440</v>
      </c>
      <c r="N15" s="3">
        <v>46083</v>
      </c>
      <c r="O15" s="3">
        <v>46089</v>
      </c>
    </row>
    <row r="16" spans="1:15" x14ac:dyDescent="0.2">
      <c r="A16" s="2" t="s">
        <v>57</v>
      </c>
      <c r="B16" s="2" t="s">
        <v>58</v>
      </c>
      <c r="C16" s="2" t="s">
        <v>59</v>
      </c>
      <c r="D16" s="2" t="s">
        <v>8</v>
      </c>
      <c r="E16" s="2" t="s">
        <v>27</v>
      </c>
      <c r="F16" s="2" t="s">
        <v>25</v>
      </c>
      <c r="G16" s="4">
        <v>120</v>
      </c>
      <c r="H16" s="5">
        <v>6</v>
      </c>
      <c r="I16" s="4">
        <v>720</v>
      </c>
      <c r="J16" s="5">
        <v>0</v>
      </c>
      <c r="K16" s="4">
        <f t="shared" si="0"/>
        <v>0</v>
      </c>
      <c r="L16" s="5">
        <f t="shared" si="1"/>
        <v>-6</v>
      </c>
      <c r="M16" s="4">
        <f t="shared" si="2"/>
        <v>-720</v>
      </c>
      <c r="N16" s="3">
        <v>46083</v>
      </c>
      <c r="O16" s="3">
        <v>46089</v>
      </c>
    </row>
    <row r="17" spans="1:15" x14ac:dyDescent="0.2">
      <c r="A17" s="2" t="s">
        <v>61</v>
      </c>
      <c r="B17" s="2" t="s">
        <v>62</v>
      </c>
      <c r="C17" s="2" t="s">
        <v>60</v>
      </c>
      <c r="D17" s="2" t="s">
        <v>8</v>
      </c>
      <c r="E17" s="2" t="s">
        <v>28</v>
      </c>
      <c r="F17" s="2" t="s">
        <v>29</v>
      </c>
      <c r="G17" s="4">
        <v>50</v>
      </c>
      <c r="H17" s="5">
        <v>43</v>
      </c>
      <c r="I17" s="4">
        <v>2150</v>
      </c>
      <c r="J17" s="5">
        <v>0</v>
      </c>
      <c r="K17" s="4">
        <f t="shared" ref="K17:K33" si="3">J17*G17</f>
        <v>0</v>
      </c>
      <c r="L17" s="5">
        <f t="shared" ref="L17:L33" si="4">J17-H17</f>
        <v>-43</v>
      </c>
      <c r="M17" s="4">
        <f t="shared" ref="M17:M33" si="5">K17-I17</f>
        <v>-2150</v>
      </c>
      <c r="N17" s="3">
        <v>46083</v>
      </c>
      <c r="O17" s="3">
        <v>46089</v>
      </c>
    </row>
    <row r="18" spans="1:15" x14ac:dyDescent="0.2">
      <c r="A18" s="2" t="s">
        <v>61</v>
      </c>
      <c r="B18" s="2" t="s">
        <v>62</v>
      </c>
      <c r="C18" s="2" t="s">
        <v>60</v>
      </c>
      <c r="D18" s="2" t="s">
        <v>8</v>
      </c>
      <c r="E18" s="2" t="s">
        <v>30</v>
      </c>
      <c r="F18" s="2" t="s">
        <v>29</v>
      </c>
      <c r="G18" s="4">
        <v>80</v>
      </c>
      <c r="H18" s="5">
        <v>80</v>
      </c>
      <c r="I18" s="4">
        <v>6400</v>
      </c>
      <c r="J18" s="5">
        <v>44</v>
      </c>
      <c r="K18" s="4">
        <f t="shared" si="3"/>
        <v>3520</v>
      </c>
      <c r="L18" s="5">
        <f t="shared" si="4"/>
        <v>-36</v>
      </c>
      <c r="M18" s="4">
        <f t="shared" si="5"/>
        <v>-2880</v>
      </c>
      <c r="N18" s="3">
        <v>46083</v>
      </c>
      <c r="O18" s="3">
        <v>46089</v>
      </c>
    </row>
    <row r="19" spans="1:15" x14ac:dyDescent="0.2">
      <c r="A19" s="2" t="s">
        <v>61</v>
      </c>
      <c r="B19" s="2" t="s">
        <v>62</v>
      </c>
      <c r="C19" s="2" t="s">
        <v>60</v>
      </c>
      <c r="D19" s="2" t="s">
        <v>8</v>
      </c>
      <c r="E19" s="2" t="s">
        <v>31</v>
      </c>
      <c r="F19" s="2" t="s">
        <v>32</v>
      </c>
      <c r="G19" s="4">
        <v>50</v>
      </c>
      <c r="H19" s="5">
        <v>240</v>
      </c>
      <c r="I19" s="4">
        <v>12000</v>
      </c>
      <c r="J19" s="5">
        <v>7</v>
      </c>
      <c r="K19" s="4">
        <f t="shared" si="3"/>
        <v>350</v>
      </c>
      <c r="L19" s="5">
        <f t="shared" si="4"/>
        <v>-233</v>
      </c>
      <c r="M19" s="4">
        <f t="shared" si="5"/>
        <v>-11650</v>
      </c>
      <c r="N19" s="3">
        <v>46083</v>
      </c>
      <c r="O19" s="3">
        <v>46089</v>
      </c>
    </row>
    <row r="20" spans="1:15" x14ac:dyDescent="0.2">
      <c r="A20" s="2" t="s">
        <v>61</v>
      </c>
      <c r="B20" s="2" t="s">
        <v>62</v>
      </c>
      <c r="C20" s="2" t="s">
        <v>60</v>
      </c>
      <c r="D20" s="2" t="s">
        <v>8</v>
      </c>
      <c r="E20" s="2" t="s">
        <v>33</v>
      </c>
      <c r="F20" s="2" t="s">
        <v>32</v>
      </c>
      <c r="G20" s="4">
        <v>80</v>
      </c>
      <c r="H20" s="5">
        <v>208</v>
      </c>
      <c r="I20" s="4">
        <v>16640</v>
      </c>
      <c r="J20" s="5">
        <v>1</v>
      </c>
      <c r="K20" s="4">
        <f t="shared" si="3"/>
        <v>80</v>
      </c>
      <c r="L20" s="5">
        <f t="shared" si="4"/>
        <v>-207</v>
      </c>
      <c r="M20" s="4">
        <f t="shared" si="5"/>
        <v>-16560</v>
      </c>
      <c r="N20" s="3">
        <v>46083</v>
      </c>
      <c r="O20" s="3">
        <v>46089</v>
      </c>
    </row>
    <row r="21" spans="1:15" x14ac:dyDescent="0.2">
      <c r="A21" s="2" t="s">
        <v>61</v>
      </c>
      <c r="B21" s="2" t="s">
        <v>62</v>
      </c>
      <c r="C21" s="2" t="s">
        <v>60</v>
      </c>
      <c r="D21" s="2" t="s">
        <v>8</v>
      </c>
      <c r="E21" s="2" t="s">
        <v>34</v>
      </c>
      <c r="F21" s="2" t="s">
        <v>35</v>
      </c>
      <c r="G21" s="4">
        <v>50</v>
      </c>
      <c r="H21" s="5">
        <v>130</v>
      </c>
      <c r="I21" s="4">
        <v>6500</v>
      </c>
      <c r="J21" s="5">
        <v>28</v>
      </c>
      <c r="K21" s="4">
        <f t="shared" si="3"/>
        <v>1400</v>
      </c>
      <c r="L21" s="5">
        <f t="shared" si="4"/>
        <v>-102</v>
      </c>
      <c r="M21" s="4">
        <f t="shared" si="5"/>
        <v>-5100</v>
      </c>
      <c r="N21" s="3">
        <v>46083</v>
      </c>
      <c r="O21" s="3">
        <v>46089</v>
      </c>
    </row>
    <row r="22" spans="1:15" x14ac:dyDescent="0.2">
      <c r="A22" s="2" t="s">
        <v>61</v>
      </c>
      <c r="B22" s="2" t="s">
        <v>62</v>
      </c>
      <c r="C22" s="2" t="s">
        <v>60</v>
      </c>
      <c r="D22" s="2" t="s">
        <v>8</v>
      </c>
      <c r="E22" s="2" t="s">
        <v>36</v>
      </c>
      <c r="F22" s="2" t="s">
        <v>35</v>
      </c>
      <c r="G22" s="4">
        <v>80</v>
      </c>
      <c r="H22" s="5">
        <v>70</v>
      </c>
      <c r="I22" s="4">
        <v>5600</v>
      </c>
      <c r="J22" s="5">
        <v>50</v>
      </c>
      <c r="K22" s="4">
        <f t="shared" si="3"/>
        <v>4000</v>
      </c>
      <c r="L22" s="5">
        <f t="shared" si="4"/>
        <v>-20</v>
      </c>
      <c r="M22" s="4">
        <f t="shared" si="5"/>
        <v>-1600</v>
      </c>
      <c r="N22" s="3">
        <v>46083</v>
      </c>
      <c r="O22" s="3">
        <v>46089</v>
      </c>
    </row>
    <row r="23" spans="1:15" x14ac:dyDescent="0.2">
      <c r="A23" s="2" t="s">
        <v>61</v>
      </c>
      <c r="B23" s="2" t="s">
        <v>62</v>
      </c>
      <c r="C23" s="2" t="s">
        <v>60</v>
      </c>
      <c r="D23" s="2" t="s">
        <v>8</v>
      </c>
      <c r="E23" s="2" t="s">
        <v>37</v>
      </c>
      <c r="F23" s="2" t="s">
        <v>38</v>
      </c>
      <c r="G23" s="4">
        <v>50</v>
      </c>
      <c r="H23" s="5">
        <v>115</v>
      </c>
      <c r="I23" s="4">
        <v>5750</v>
      </c>
      <c r="J23" s="5">
        <v>9</v>
      </c>
      <c r="K23" s="4">
        <f t="shared" si="3"/>
        <v>450</v>
      </c>
      <c r="L23" s="5">
        <f t="shared" si="4"/>
        <v>-106</v>
      </c>
      <c r="M23" s="4">
        <f t="shared" si="5"/>
        <v>-5300</v>
      </c>
      <c r="N23" s="3">
        <v>46083</v>
      </c>
      <c r="O23" s="3">
        <v>46089</v>
      </c>
    </row>
    <row r="24" spans="1:15" x14ac:dyDescent="0.2">
      <c r="A24" s="2" t="s">
        <v>61</v>
      </c>
      <c r="B24" s="2" t="s">
        <v>62</v>
      </c>
      <c r="C24" s="2" t="s">
        <v>60</v>
      </c>
      <c r="D24" s="2" t="s">
        <v>8</v>
      </c>
      <c r="E24" s="2" t="s">
        <v>39</v>
      </c>
      <c r="F24" s="2" t="s">
        <v>38</v>
      </c>
      <c r="G24" s="4">
        <v>80</v>
      </c>
      <c r="H24" s="5">
        <v>55</v>
      </c>
      <c r="I24" s="4">
        <v>4400</v>
      </c>
      <c r="J24" s="5">
        <v>28</v>
      </c>
      <c r="K24" s="4">
        <f t="shared" si="3"/>
        <v>2240</v>
      </c>
      <c r="L24" s="5">
        <f t="shared" si="4"/>
        <v>-27</v>
      </c>
      <c r="M24" s="4">
        <f t="shared" si="5"/>
        <v>-2160</v>
      </c>
      <c r="N24" s="3">
        <v>46083</v>
      </c>
      <c r="O24" s="3">
        <v>46089</v>
      </c>
    </row>
    <row r="25" spans="1:15" x14ac:dyDescent="0.2">
      <c r="A25" s="2" t="s">
        <v>61</v>
      </c>
      <c r="B25" s="2" t="s">
        <v>62</v>
      </c>
      <c r="C25" s="2" t="s">
        <v>60</v>
      </c>
      <c r="D25" s="2" t="s">
        <v>8</v>
      </c>
      <c r="E25" s="2" t="s">
        <v>40</v>
      </c>
      <c r="F25" s="2" t="s">
        <v>41</v>
      </c>
      <c r="G25" s="4">
        <v>50</v>
      </c>
      <c r="H25" s="5">
        <v>75</v>
      </c>
      <c r="I25" s="4">
        <v>3750</v>
      </c>
      <c r="J25" s="5">
        <v>41</v>
      </c>
      <c r="K25" s="4">
        <f t="shared" si="3"/>
        <v>2050</v>
      </c>
      <c r="L25" s="5">
        <f t="shared" si="4"/>
        <v>-34</v>
      </c>
      <c r="M25" s="4">
        <f t="shared" si="5"/>
        <v>-1700</v>
      </c>
      <c r="N25" s="3">
        <v>46083</v>
      </c>
      <c r="O25" s="3">
        <v>46089</v>
      </c>
    </row>
    <row r="26" spans="1:15" x14ac:dyDescent="0.2">
      <c r="A26" s="2" t="s">
        <v>61</v>
      </c>
      <c r="B26" s="2" t="s">
        <v>62</v>
      </c>
      <c r="C26" s="2" t="s">
        <v>60</v>
      </c>
      <c r="D26" s="2" t="s">
        <v>8</v>
      </c>
      <c r="E26" s="2" t="s">
        <v>42</v>
      </c>
      <c r="F26" s="2" t="s">
        <v>41</v>
      </c>
      <c r="G26" s="4">
        <v>80</v>
      </c>
      <c r="H26" s="5">
        <v>88</v>
      </c>
      <c r="I26" s="4">
        <v>7040</v>
      </c>
      <c r="J26" s="5">
        <v>74</v>
      </c>
      <c r="K26" s="4">
        <f t="shared" si="3"/>
        <v>5920</v>
      </c>
      <c r="L26" s="5">
        <f t="shared" si="4"/>
        <v>-14</v>
      </c>
      <c r="M26" s="4">
        <f t="shared" si="5"/>
        <v>-1120</v>
      </c>
      <c r="N26" s="3">
        <v>46083</v>
      </c>
      <c r="O26" s="3">
        <v>46089</v>
      </c>
    </row>
    <row r="27" spans="1:15" x14ac:dyDescent="0.2">
      <c r="A27" s="2" t="s">
        <v>61</v>
      </c>
      <c r="B27" s="2" t="s">
        <v>62</v>
      </c>
      <c r="C27" s="2" t="s">
        <v>60</v>
      </c>
      <c r="D27" s="2" t="s">
        <v>8</v>
      </c>
      <c r="E27" s="2" t="s">
        <v>43</v>
      </c>
      <c r="F27" s="2" t="s">
        <v>44</v>
      </c>
      <c r="G27" s="4">
        <v>50</v>
      </c>
      <c r="H27" s="5">
        <v>70</v>
      </c>
      <c r="I27" s="4">
        <v>3500</v>
      </c>
      <c r="J27" s="5">
        <v>3</v>
      </c>
      <c r="K27" s="4">
        <f t="shared" si="3"/>
        <v>150</v>
      </c>
      <c r="L27" s="5">
        <f t="shared" si="4"/>
        <v>-67</v>
      </c>
      <c r="M27" s="4">
        <f t="shared" si="5"/>
        <v>-3350</v>
      </c>
      <c r="N27" s="3">
        <v>46083</v>
      </c>
      <c r="O27" s="3">
        <v>46089</v>
      </c>
    </row>
    <row r="28" spans="1:15" x14ac:dyDescent="0.2">
      <c r="A28" s="2" t="s">
        <v>61</v>
      </c>
      <c r="B28" s="2" t="s">
        <v>62</v>
      </c>
      <c r="C28" s="2" t="s">
        <v>60</v>
      </c>
      <c r="D28" s="2" t="s">
        <v>8</v>
      </c>
      <c r="E28" s="2" t="s">
        <v>45</v>
      </c>
      <c r="F28" s="2" t="s">
        <v>44</v>
      </c>
      <c r="G28" s="4">
        <v>80</v>
      </c>
      <c r="H28" s="5">
        <v>128</v>
      </c>
      <c r="I28" s="4">
        <v>10240</v>
      </c>
      <c r="J28" s="5">
        <v>104</v>
      </c>
      <c r="K28" s="4">
        <f t="shared" si="3"/>
        <v>8320</v>
      </c>
      <c r="L28" s="5">
        <f t="shared" si="4"/>
        <v>-24</v>
      </c>
      <c r="M28" s="4">
        <f t="shared" si="5"/>
        <v>-1920</v>
      </c>
      <c r="N28" s="3">
        <v>46083</v>
      </c>
      <c r="O28" s="3">
        <v>46089</v>
      </c>
    </row>
    <row r="29" spans="1:15" x14ac:dyDescent="0.2">
      <c r="A29" s="2" t="s">
        <v>61</v>
      </c>
      <c r="B29" s="2" t="s">
        <v>62</v>
      </c>
      <c r="C29" s="2" t="s">
        <v>60</v>
      </c>
      <c r="D29" s="2" t="s">
        <v>8</v>
      </c>
      <c r="E29" s="2" t="s">
        <v>46</v>
      </c>
      <c r="F29" s="2" t="s">
        <v>47</v>
      </c>
      <c r="G29" s="4">
        <v>50</v>
      </c>
      <c r="H29" s="5">
        <v>5</v>
      </c>
      <c r="I29" s="4">
        <v>250</v>
      </c>
      <c r="J29" s="5">
        <v>0</v>
      </c>
      <c r="K29" s="4">
        <f t="shared" si="3"/>
        <v>0</v>
      </c>
      <c r="L29" s="5">
        <f t="shared" si="4"/>
        <v>-5</v>
      </c>
      <c r="M29" s="4">
        <f t="shared" si="5"/>
        <v>-250</v>
      </c>
      <c r="N29" s="3">
        <v>46083</v>
      </c>
      <c r="O29" s="3">
        <v>46089</v>
      </c>
    </row>
    <row r="30" spans="1:15" x14ac:dyDescent="0.2">
      <c r="A30" s="2" t="s">
        <v>61</v>
      </c>
      <c r="B30" s="2" t="s">
        <v>62</v>
      </c>
      <c r="C30" s="2" t="s">
        <v>60</v>
      </c>
      <c r="D30" s="2" t="s">
        <v>8</v>
      </c>
      <c r="E30" s="2" t="s">
        <v>48</v>
      </c>
      <c r="F30" s="2" t="s">
        <v>49</v>
      </c>
      <c r="G30" s="4">
        <v>50</v>
      </c>
      <c r="H30" s="5">
        <v>78</v>
      </c>
      <c r="I30" s="4">
        <v>3900</v>
      </c>
      <c r="J30" s="5">
        <v>38</v>
      </c>
      <c r="K30" s="4">
        <f t="shared" si="3"/>
        <v>1900</v>
      </c>
      <c r="L30" s="5">
        <f t="shared" si="4"/>
        <v>-40</v>
      </c>
      <c r="M30" s="4">
        <f t="shared" si="5"/>
        <v>-2000</v>
      </c>
      <c r="N30" s="3">
        <v>46083</v>
      </c>
      <c r="O30" s="3">
        <v>46089</v>
      </c>
    </row>
    <row r="31" spans="1:15" x14ac:dyDescent="0.2">
      <c r="A31" s="2" t="s">
        <v>61</v>
      </c>
      <c r="B31" s="2" t="s">
        <v>62</v>
      </c>
      <c r="C31" s="2" t="s">
        <v>60</v>
      </c>
      <c r="D31" s="2" t="s">
        <v>8</v>
      </c>
      <c r="E31" s="2" t="s">
        <v>50</v>
      </c>
      <c r="F31" s="2" t="s">
        <v>49</v>
      </c>
      <c r="G31" s="4">
        <v>80</v>
      </c>
      <c r="H31" s="5">
        <v>43</v>
      </c>
      <c r="I31" s="4">
        <v>3440</v>
      </c>
      <c r="J31" s="5">
        <v>20</v>
      </c>
      <c r="K31" s="4">
        <f t="shared" si="3"/>
        <v>1600</v>
      </c>
      <c r="L31" s="5">
        <f t="shared" si="4"/>
        <v>-23</v>
      </c>
      <c r="M31" s="4">
        <f t="shared" si="5"/>
        <v>-1840</v>
      </c>
      <c r="N31" s="3">
        <v>46083</v>
      </c>
      <c r="O31" s="3">
        <v>46089</v>
      </c>
    </row>
    <row r="32" spans="1:15" x14ac:dyDescent="0.2">
      <c r="A32" s="2" t="s">
        <v>61</v>
      </c>
      <c r="B32" s="2" t="s">
        <v>62</v>
      </c>
      <c r="C32" s="2" t="s">
        <v>60</v>
      </c>
      <c r="D32" s="2" t="s">
        <v>8</v>
      </c>
      <c r="E32" s="2" t="s">
        <v>51</v>
      </c>
      <c r="F32" s="2" t="s">
        <v>52</v>
      </c>
      <c r="G32" s="4">
        <v>50</v>
      </c>
      <c r="H32" s="5">
        <v>53</v>
      </c>
      <c r="I32" s="4">
        <v>2650</v>
      </c>
      <c r="J32" s="5">
        <v>35</v>
      </c>
      <c r="K32" s="4">
        <f t="shared" si="3"/>
        <v>1750</v>
      </c>
      <c r="L32" s="5">
        <f t="shared" si="4"/>
        <v>-18</v>
      </c>
      <c r="M32" s="4">
        <f t="shared" si="5"/>
        <v>-900</v>
      </c>
      <c r="N32" s="3">
        <v>46083</v>
      </c>
      <c r="O32" s="3">
        <v>46089</v>
      </c>
    </row>
    <row r="33" spans="1:15" x14ac:dyDescent="0.2">
      <c r="A33" s="2" t="s">
        <v>61</v>
      </c>
      <c r="B33" s="2" t="s">
        <v>62</v>
      </c>
      <c r="C33" s="2" t="s">
        <v>60</v>
      </c>
      <c r="D33" s="2" t="s">
        <v>8</v>
      </c>
      <c r="E33" s="2" t="s">
        <v>53</v>
      </c>
      <c r="F33" s="2" t="s">
        <v>52</v>
      </c>
      <c r="G33" s="4">
        <v>80</v>
      </c>
      <c r="H33" s="5">
        <v>75</v>
      </c>
      <c r="I33" s="4">
        <v>6000</v>
      </c>
      <c r="J33" s="5">
        <v>104</v>
      </c>
      <c r="K33" s="4">
        <f t="shared" si="3"/>
        <v>8320</v>
      </c>
      <c r="L33" s="5">
        <f t="shared" si="4"/>
        <v>29</v>
      </c>
      <c r="M33" s="4">
        <f t="shared" si="5"/>
        <v>2320</v>
      </c>
      <c r="N33" s="3">
        <v>46083</v>
      </c>
      <c r="O33" s="3">
        <v>46089</v>
      </c>
    </row>
  </sheetData>
  <autoFilter ref="A1:O33" xr:uid="{00000000-0001-0000-0000-00000000000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2026-03-02T22:15:34Z</dcterms:created>
  <dcterms:modified xsi:type="dcterms:W3CDTF">2026-03-04T15:49:38Z</dcterms:modified>
  <cp:category/>
</cp:coreProperties>
</file>