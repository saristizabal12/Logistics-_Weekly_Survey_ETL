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F2820352-3EE6-4C30-9596-99A901270C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  <sheet name="requesting - Waiting approval" sheetId="14" r:id="rId2"/>
  </sheets>
  <definedNames>
    <definedName name="_xlnm._FilterDatabase" localSheetId="0" hidden="1">'As of now'!$A$1:$N$33</definedName>
    <definedName name="_xlnm._FilterDatabase" localSheetId="1" hidden="1">'requesting - Waiting approval'!$A$1:$N$33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J3" i="13"/>
  <c r="J4" i="13"/>
  <c r="L33" i="14"/>
  <c r="K33" i="14"/>
  <c r="G33" i="14"/>
  <c r="L32" i="14"/>
  <c r="G32" i="14"/>
  <c r="L31" i="14"/>
  <c r="K31" i="14"/>
  <c r="G31" i="14"/>
  <c r="M31" i="14" s="1"/>
  <c r="N31" i="14" s="1"/>
  <c r="L30" i="14"/>
  <c r="G30" i="14"/>
  <c r="L29" i="14"/>
  <c r="K29" i="14"/>
  <c r="G29" i="14"/>
  <c r="L28" i="14"/>
  <c r="G28" i="14"/>
  <c r="L27" i="14"/>
  <c r="K27" i="14"/>
  <c r="G27" i="14"/>
  <c r="L26" i="14"/>
  <c r="G26" i="14"/>
  <c r="M26" i="14" s="1"/>
  <c r="N26" i="14" s="1"/>
  <c r="L25" i="14"/>
  <c r="K25" i="14"/>
  <c r="G25" i="14"/>
  <c r="L24" i="14"/>
  <c r="G24" i="14"/>
  <c r="L23" i="14"/>
  <c r="K23" i="14"/>
  <c r="G23" i="14"/>
  <c r="L22" i="14"/>
  <c r="G22" i="14"/>
  <c r="M22" i="14" s="1"/>
  <c r="N22" i="14" s="1"/>
  <c r="L21" i="14"/>
  <c r="K21" i="14"/>
  <c r="G21" i="14"/>
  <c r="M21" i="14" s="1"/>
  <c r="N21" i="14" s="1"/>
  <c r="L20" i="14"/>
  <c r="G20" i="14"/>
  <c r="L19" i="14"/>
  <c r="K19" i="14"/>
  <c r="G19" i="14"/>
  <c r="L18" i="14"/>
  <c r="G18" i="14"/>
  <c r="L17" i="14"/>
  <c r="K17" i="14"/>
  <c r="G17" i="14"/>
  <c r="M17" i="14" s="1"/>
  <c r="N17" i="14" s="1"/>
  <c r="K16" i="14"/>
  <c r="G16" i="14"/>
  <c r="L15" i="14"/>
  <c r="K15" i="14"/>
  <c r="G15" i="14"/>
  <c r="L14" i="14"/>
  <c r="G14" i="14"/>
  <c r="L13" i="14"/>
  <c r="G13" i="14"/>
  <c r="L12" i="14"/>
  <c r="G12" i="14"/>
  <c r="L11" i="14"/>
  <c r="G11" i="14"/>
  <c r="L10" i="14"/>
  <c r="G10" i="14"/>
  <c r="L9" i="14"/>
  <c r="G9" i="14"/>
  <c r="L8" i="14"/>
  <c r="G8" i="14"/>
  <c r="K7" i="14"/>
  <c r="G7" i="14"/>
  <c r="L6" i="14"/>
  <c r="G6" i="14"/>
  <c r="K5" i="14"/>
  <c r="L5" i="14"/>
  <c r="G5" i="14"/>
  <c r="K4" i="14"/>
  <c r="G4" i="14"/>
  <c r="K3" i="14"/>
  <c r="G3" i="14"/>
  <c r="K2" i="14"/>
  <c r="G2" i="14"/>
  <c r="P4" i="13"/>
  <c r="J33" i="13"/>
  <c r="L33" i="13" s="1"/>
  <c r="J32" i="13"/>
  <c r="L32" i="13" s="1"/>
  <c r="J31" i="13"/>
  <c r="L31" i="13" s="1"/>
  <c r="J30" i="13"/>
  <c r="K30" i="13" s="1"/>
  <c r="J29" i="13"/>
  <c r="K29" i="13" s="1"/>
  <c r="J28" i="13"/>
  <c r="K28" i="13" s="1"/>
  <c r="J27" i="13"/>
  <c r="K27" i="13" s="1"/>
  <c r="J26" i="13"/>
  <c r="L26" i="13" s="1"/>
  <c r="J25" i="13"/>
  <c r="K25" i="13" s="1"/>
  <c r="L24" i="13"/>
  <c r="M24" i="13" s="1"/>
  <c r="N24" i="13" s="1"/>
  <c r="K24" i="13"/>
  <c r="J24" i="13"/>
  <c r="J23" i="13"/>
  <c r="L23" i="13" s="1"/>
  <c r="J22" i="13"/>
  <c r="K22" i="13" s="1"/>
  <c r="J21" i="13"/>
  <c r="L21" i="13" s="1"/>
  <c r="J20" i="13"/>
  <c r="K20" i="13" s="1"/>
  <c r="J19" i="13"/>
  <c r="L19" i="13" s="1"/>
  <c r="J18" i="13"/>
  <c r="K18" i="13" s="1"/>
  <c r="J17" i="13"/>
  <c r="L17" i="13" s="1"/>
  <c r="J16" i="13"/>
  <c r="L16" i="13" s="1"/>
  <c r="J15" i="13"/>
  <c r="L15" i="13" s="1"/>
  <c r="M15" i="13" s="1"/>
  <c r="N15" i="13" s="1"/>
  <c r="J14" i="13"/>
  <c r="L14" i="13" s="1"/>
  <c r="M14" i="13" s="1"/>
  <c r="N14" i="13" s="1"/>
  <c r="J13" i="13"/>
  <c r="L13" i="13" s="1"/>
  <c r="M13" i="13" s="1"/>
  <c r="N13" i="13" s="1"/>
  <c r="J12" i="13"/>
  <c r="K12" i="13" s="1"/>
  <c r="J11" i="13"/>
  <c r="L11" i="13" s="1"/>
  <c r="M11" i="13" s="1"/>
  <c r="N11" i="13" s="1"/>
  <c r="J10" i="13"/>
  <c r="L10" i="13" s="1"/>
  <c r="M10" i="13" s="1"/>
  <c r="N10" i="13" s="1"/>
  <c r="J9" i="13"/>
  <c r="L9" i="13" s="1"/>
  <c r="M9" i="13" s="1"/>
  <c r="N9" i="13" s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M15" i="14" l="1"/>
  <c r="N15" i="14" s="1"/>
  <c r="M25" i="14"/>
  <c r="N25" i="14" s="1"/>
  <c r="M10" i="14"/>
  <c r="N10" i="14" s="1"/>
  <c r="M30" i="14"/>
  <c r="N30" i="14" s="1"/>
  <c r="M27" i="14"/>
  <c r="N27" i="14" s="1"/>
  <c r="P3" i="14"/>
  <c r="M18" i="14"/>
  <c r="N18" i="14" s="1"/>
  <c r="M23" i="14"/>
  <c r="N23" i="14" s="1"/>
  <c r="M33" i="14"/>
  <c r="N33" i="14" s="1"/>
  <c r="M19" i="14"/>
  <c r="N19" i="14" s="1"/>
  <c r="M29" i="14"/>
  <c r="N29" i="14" s="1"/>
  <c r="M5" i="14"/>
  <c r="N5" i="14" s="1"/>
  <c r="M14" i="14"/>
  <c r="N14" i="14" s="1"/>
  <c r="L7" i="14"/>
  <c r="Q3" i="14" s="1"/>
  <c r="T2" i="14" s="1"/>
  <c r="M11" i="14"/>
  <c r="N11" i="14" s="1"/>
  <c r="K11" i="14"/>
  <c r="M13" i="14"/>
  <c r="N13" i="14" s="1"/>
  <c r="M9" i="14"/>
  <c r="N9" i="14" s="1"/>
  <c r="K9" i="14"/>
  <c r="K13" i="14"/>
  <c r="P2" i="14"/>
  <c r="L2" i="14"/>
  <c r="M2" i="14" s="1"/>
  <c r="N2" i="14" s="1"/>
  <c r="L4" i="14"/>
  <c r="M4" i="14" s="1"/>
  <c r="N4" i="14" s="1"/>
  <c r="L3" i="14"/>
  <c r="M3" i="14" s="1"/>
  <c r="N3" i="14" s="1"/>
  <c r="M8" i="14"/>
  <c r="N8" i="14" s="1"/>
  <c r="M12" i="14"/>
  <c r="N12" i="14" s="1"/>
  <c r="M20" i="14"/>
  <c r="N20" i="14" s="1"/>
  <c r="M24" i="14"/>
  <c r="N24" i="14" s="1"/>
  <c r="M28" i="14"/>
  <c r="N28" i="14" s="1"/>
  <c r="M32" i="14"/>
  <c r="N32" i="14" s="1"/>
  <c r="L16" i="14"/>
  <c r="M16" i="14" s="1"/>
  <c r="N16" i="14" s="1"/>
  <c r="K6" i="14"/>
  <c r="K8" i="14"/>
  <c r="K10" i="14"/>
  <c r="K12" i="14"/>
  <c r="K14" i="14"/>
  <c r="K18" i="14"/>
  <c r="K20" i="14"/>
  <c r="K22" i="14"/>
  <c r="K24" i="14"/>
  <c r="K26" i="14"/>
  <c r="K28" i="14"/>
  <c r="K30" i="14"/>
  <c r="K32" i="14"/>
  <c r="P4" i="14"/>
  <c r="M6" i="14"/>
  <c r="N6" i="14" s="1"/>
  <c r="M26" i="13"/>
  <c r="N26" i="13" s="1"/>
  <c r="M17" i="13"/>
  <c r="N17" i="13" s="1"/>
  <c r="M21" i="13"/>
  <c r="N21" i="13" s="1"/>
  <c r="M32" i="13"/>
  <c r="N32" i="13" s="1"/>
  <c r="M16" i="13"/>
  <c r="N16" i="13" s="1"/>
  <c r="M19" i="13"/>
  <c r="N19" i="13" s="1"/>
  <c r="M31" i="13"/>
  <c r="N31" i="13" s="1"/>
  <c r="M23" i="13"/>
  <c r="N23" i="13" s="1"/>
  <c r="M33" i="13"/>
  <c r="N33" i="13" s="1"/>
  <c r="L29" i="13"/>
  <c r="M29" i="13" s="1"/>
  <c r="N29" i="13" s="1"/>
  <c r="K17" i="13"/>
  <c r="L12" i="13"/>
  <c r="M12" i="13" s="1"/>
  <c r="N12" i="13" s="1"/>
  <c r="K10" i="13"/>
  <c r="K15" i="13"/>
  <c r="L27" i="13"/>
  <c r="M27" i="13" s="1"/>
  <c r="N27" i="13" s="1"/>
  <c r="K13" i="13"/>
  <c r="L20" i="13"/>
  <c r="M20" i="13" s="1"/>
  <c r="N20" i="13" s="1"/>
  <c r="K23" i="13"/>
  <c r="K16" i="13"/>
  <c r="L22" i="13"/>
  <c r="M22" i="13" s="1"/>
  <c r="N22" i="13" s="1"/>
  <c r="L25" i="13"/>
  <c r="M25" i="13" s="1"/>
  <c r="N25" i="13" s="1"/>
  <c r="K11" i="13"/>
  <c r="L18" i="13"/>
  <c r="M18" i="13" s="1"/>
  <c r="N18" i="13" s="1"/>
  <c r="L30" i="13"/>
  <c r="M30" i="13" s="1"/>
  <c r="N30" i="13" s="1"/>
  <c r="K21" i="13"/>
  <c r="L28" i="13"/>
  <c r="M28" i="13" s="1"/>
  <c r="N28" i="13" s="1"/>
  <c r="K33" i="13"/>
  <c r="K32" i="13"/>
  <c r="K9" i="13"/>
  <c r="K14" i="13"/>
  <c r="K26" i="13"/>
  <c r="K19" i="13"/>
  <c r="K31" i="13"/>
  <c r="J8" i="13"/>
  <c r="K8" i="13" s="1"/>
  <c r="G8" i="13"/>
  <c r="J7" i="13"/>
  <c r="K7" i="13" s="1"/>
  <c r="G7" i="13"/>
  <c r="J6" i="13"/>
  <c r="K6" i="13" s="1"/>
  <c r="G6" i="13"/>
  <c r="J5" i="13"/>
  <c r="L5" i="13" s="1"/>
  <c r="L4" i="13"/>
  <c r="G5" i="13"/>
  <c r="G4" i="13"/>
  <c r="G3" i="13"/>
  <c r="K3" i="13"/>
  <c r="K2" i="13"/>
  <c r="G2" i="13"/>
  <c r="M7" i="14" l="1"/>
  <c r="N7" i="14" s="1"/>
  <c r="Q2" i="14"/>
  <c r="R2" i="14" s="1"/>
  <c r="Q4" i="14"/>
  <c r="S2" i="14"/>
  <c r="Q4" i="13"/>
  <c r="P3" i="13"/>
  <c r="P2" i="13"/>
  <c r="L8" i="13"/>
  <c r="M8" i="13" s="1"/>
  <c r="N8" i="13" s="1"/>
  <c r="L6" i="13"/>
  <c r="L7" i="13"/>
  <c r="M7" i="13" s="1"/>
  <c r="N7" i="13" s="1"/>
  <c r="M4" i="13"/>
  <c r="N4" i="13" s="1"/>
  <c r="M5" i="13"/>
  <c r="N5" i="13" s="1"/>
  <c r="K5" i="13"/>
  <c r="K4" i="13"/>
  <c r="L2" i="13"/>
  <c r="L3" i="13"/>
  <c r="Q2" i="13" l="1"/>
  <c r="R2" i="13" s="1"/>
  <c r="M6" i="13"/>
  <c r="N6" i="13" s="1"/>
  <c r="Q3" i="13"/>
  <c r="M2" i="13"/>
  <c r="N2" i="13" s="1"/>
  <c r="M3" i="13"/>
  <c r="N3" i="13" s="1"/>
  <c r="S2" i="13" l="1"/>
  <c r="T2" i="13"/>
</calcChain>
</file>

<file path=xl/sharedStrings.xml><?xml version="1.0" encoding="utf-8"?>
<sst xmlns="http://schemas.openxmlformats.org/spreadsheetml/2006/main" count="290" uniqueCount="53">
  <si>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</si>
  <si>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</si>
  <si>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</si>
  <si>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</si>
  <si>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</si>
  <si>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</si>
  <si>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</si>
  <si>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</si>
  <si>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</si>
  <si>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</si>
  <si>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</si>
  <si>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</si>
  <si>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</si>
  <si>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A26</t>
  </si>
  <si>
    <t>A36</t>
  </si>
  <si>
    <t>A56</t>
  </si>
  <si>
    <t>A0S3A0A250000028</t>
  </si>
  <si>
    <t>A0S3A0A250000034</t>
  </si>
  <si>
    <t>W4-W6 A Series</t>
  </si>
  <si>
    <t>A11</t>
  </si>
  <si>
    <t>WATCH ULTRA</t>
  </si>
  <si>
    <t>WATCH 8</t>
  </si>
  <si>
    <t>WATCH 8 CLASSIC</t>
  </si>
  <si>
    <t>0028</t>
  </si>
  <si>
    <t>0034</t>
  </si>
  <si>
    <t>SM-X520NLBATPA</t>
  </si>
  <si>
    <t>SM-X526BLBATPA</t>
  </si>
  <si>
    <t>SM-X526BZAATPA</t>
  </si>
  <si>
    <t>SM-X526BZSATPA</t>
  </si>
  <si>
    <t>SM-X620NLBATPA</t>
  </si>
  <si>
    <t>SM-X620NZAATPA</t>
  </si>
  <si>
    <t>SM-X620NZSATPA</t>
  </si>
  <si>
    <t>SM-X626BZAATPA</t>
  </si>
  <si>
    <t>SM-X520NLBETPA</t>
  </si>
  <si>
    <t>SM-X520NZAATPA</t>
  </si>
  <si>
    <t>SM-X520NZAETPA</t>
  </si>
  <si>
    <t>SM-X520NZSATPA</t>
  </si>
  <si>
    <t>SM-X520NZSETPA</t>
  </si>
  <si>
    <t>SM-X620NZSETPA</t>
  </si>
  <si>
    <t>SM-X620NLBETPA</t>
  </si>
  <si>
    <t>SM-X620NZAETPA</t>
  </si>
  <si>
    <t>SM-X626BZSATPA</t>
  </si>
  <si>
    <t>A0S3A0A250000054</t>
  </si>
  <si>
    <t>W4-W6 ECO</t>
  </si>
  <si>
    <t>W5-W6 ECO</t>
  </si>
  <si>
    <t>A06</t>
  </si>
  <si>
    <t>A07</t>
  </si>
  <si>
    <t>A16</t>
  </si>
  <si>
    <t>A17</t>
  </si>
  <si>
    <t>BUDS3 FE</t>
  </si>
  <si>
    <t>S25 ULTRA</t>
  </si>
  <si>
    <t>S10 LITE</t>
  </si>
  <si>
    <t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</si>
</sst>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5" borderId="1" xfId="0" quotePrefix="1" applyFont="1" applyFill="1" applyBorder="1"/>
    <xf numFmtId="0" fontId="2" fillId="0" borderId="1" xfId="2" applyBorder="1"/>
    <xf numFmtId="8" fontId="0" fillId="4" borderId="2" xfId="0" applyNumberFormat="1" applyFill="1" applyBorder="1"/>
  </cellXfs>
  <cellStyles count="3">
    <cellStyle name="Currency" xfId="1" builtinId="4"/>
    <cellStyle name="Normal" xfId="0" builtinId="0"/>
    <cellStyle name="Normal 2" xfId="2" xr:uid="{AE0A9A5D-E5CA-43D0-8282-04B07BAE7201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33"/>
  <sheetViews>
    <sheetView showGridLines="0" tabSelected="1" zoomScale="130" zoomScaleNormal="130" workbookViewId="0">
      <pane ySplit="1" topLeftCell="A2" activePane="bottomLeft" state="frozen"/>
      <selection pane="bottomLeft" activeCell="H3" sqref="H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792</v>
      </c>
      <c r="G2" s="2">
        <f t="shared" ref="G2:G5" si="0">E2*F2</f>
        <v>35640</v>
      </c>
      <c r="H2" s="3">
        <v>1069</v>
      </c>
      <c r="I2" s="3">
        <v>702</v>
      </c>
      <c r="J2" s="3">
        <f t="shared" ref="J2:J3" si="1">H2+I2</f>
        <v>1771</v>
      </c>
      <c r="K2" s="3">
        <f t="shared" ref="K2:K3" si="2">F2-J2</f>
        <v>-979</v>
      </c>
      <c r="L2" s="4">
        <f t="shared" ref="L2:L3" si="3">J2*E2</f>
        <v>79695</v>
      </c>
      <c r="M2" s="4">
        <f t="shared" ref="M2:M3" si="4">G2-L2</f>
        <v>-44055</v>
      </c>
      <c r="N2" s="12" t="str">
        <f t="shared" ref="N2:N3" si="5">IF(M2&gt;0,"KEEP SELLING", "DO NOT SELL")</f>
        <v>DO NOT SELL</v>
      </c>
      <c r="P2" s="10">
        <f>SUM(G2:G4)</f>
        <v>119750</v>
      </c>
      <c r="Q2" s="9">
        <f>SUM(L2:L4)</f>
        <v>409065</v>
      </c>
      <c r="R2" s="11">
        <f>P2-Q2</f>
        <v>-289315</v>
      </c>
      <c r="S2" s="11">
        <f>P3-Q3</f>
        <v>147555</v>
      </c>
      <c r="T2" s="11">
        <f>Q3-R3</f>
        <v>48476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601</v>
      </c>
      <c r="G3" s="2">
        <f t="shared" si="0"/>
        <v>30050</v>
      </c>
      <c r="H3" s="3">
        <v>1242</v>
      </c>
      <c r="I3" s="3">
        <v>1965</v>
      </c>
      <c r="J3" s="3">
        <f t="shared" si="1"/>
        <v>3207</v>
      </c>
      <c r="K3" s="3">
        <f t="shared" si="2"/>
        <v>-2606</v>
      </c>
      <c r="L3" s="4">
        <f t="shared" si="3"/>
        <v>160350</v>
      </c>
      <c r="M3" s="4">
        <f t="shared" si="4"/>
        <v>-130300</v>
      </c>
      <c r="N3" s="12" t="str">
        <f t="shared" si="5"/>
        <v>DO NOT SELL</v>
      </c>
      <c r="P3" s="10">
        <f>SUM(G5:G8)</f>
        <v>196031</v>
      </c>
      <c r="Q3" s="9">
        <f>SUM(L5:L8)</f>
        <v>48476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901</v>
      </c>
      <c r="G4" s="2">
        <f t="shared" si="0"/>
        <v>54060</v>
      </c>
      <c r="H4" s="3">
        <v>1926</v>
      </c>
      <c r="I4" s="3">
        <v>891</v>
      </c>
      <c r="J4" s="3">
        <f t="shared" ref="J4:J5" si="6">H4+I4</f>
        <v>2817</v>
      </c>
      <c r="K4" s="3">
        <f t="shared" ref="K4:K5" si="7">F4-J4</f>
        <v>-1916</v>
      </c>
      <c r="L4" s="4">
        <f t="shared" ref="L4:L5" si="8">J4*E4</f>
        <v>169020</v>
      </c>
      <c r="M4" s="4">
        <f t="shared" ref="M4:M5" si="9">G4-L4</f>
        <v>-114960</v>
      </c>
      <c r="N4" s="12" t="str">
        <f t="shared" ref="N4:N5" si="10">IF(M4&gt;0,"KEEP SELLING", "DO NOT SELL")</f>
        <v>DO NOT SELL</v>
      </c>
      <c r="P4" s="10">
        <f>SUM(G9:G33)</f>
        <v>212970</v>
      </c>
      <c r="Q4" s="9">
        <f>SUM(L9:L33)</f>
        <v>15855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20</v>
      </c>
      <c r="G5" s="2">
        <f t="shared" si="0"/>
        <v>500</v>
      </c>
      <c r="H5" s="3"/>
      <c r="I5" s="3"/>
      <c r="J5" s="3">
        <f t="shared" si="6"/>
        <v>0</v>
      </c>
      <c r="K5" s="3">
        <f t="shared" si="7"/>
        <v>20</v>
      </c>
      <c r="L5" s="4">
        <f t="shared" si="8"/>
        <v>0</v>
      </c>
      <c r="M5" s="4">
        <f t="shared" si="9"/>
        <v>500</v>
      </c>
      <c r="N5" s="12" t="str">
        <f t="shared" si="10"/>
        <v>KEEP SELLING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2790</v>
      </c>
      <c r="G6" s="2">
        <f t="shared" ref="G6:G33" si="11">E6*F6</f>
        <v>55800</v>
      </c>
      <c r="H6" s="3">
        <v>1131</v>
      </c>
      <c r="I6" s="3">
        <v>253</v>
      </c>
      <c r="J6" s="3">
        <f t="shared" ref="J6:J8" si="12">H6+I6</f>
        <v>1384</v>
      </c>
      <c r="K6" s="3">
        <f t="shared" ref="K6:K8" si="13">F6-J6</f>
        <v>1406</v>
      </c>
      <c r="L6" s="4">
        <f t="shared" ref="L6:L8" si="14">J6*E6</f>
        <v>27680</v>
      </c>
      <c r="M6" s="4">
        <f t="shared" ref="M6:M8" si="15">G6-L6</f>
        <v>28120</v>
      </c>
      <c r="N6" s="12" t="str">
        <f t="shared" ref="N6:N8" si="16">IF(M6&gt;0,"KEEP SELLING", "DO NOT SELL")</f>
        <v>KEEP SELLING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1339</v>
      </c>
      <c r="G7" s="2">
        <f t="shared" si="11"/>
        <v>72306</v>
      </c>
      <c r="H7" s="3">
        <v>191</v>
      </c>
      <c r="I7" s="3">
        <v>4</v>
      </c>
      <c r="J7" s="3">
        <f t="shared" si="12"/>
        <v>195</v>
      </c>
      <c r="K7" s="3">
        <f t="shared" si="13"/>
        <v>1144</v>
      </c>
      <c r="L7" s="4">
        <f t="shared" si="14"/>
        <v>10530</v>
      </c>
      <c r="M7" s="4">
        <f t="shared" si="15"/>
        <v>61776</v>
      </c>
      <c r="N7" s="12" t="str">
        <f t="shared" si="16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775</v>
      </c>
      <c r="G8" s="2">
        <f t="shared" si="11"/>
        <v>67425</v>
      </c>
      <c r="H8" s="3">
        <v>96</v>
      </c>
      <c r="I8" s="3">
        <v>22</v>
      </c>
      <c r="J8" s="3">
        <f t="shared" si="12"/>
        <v>118</v>
      </c>
      <c r="K8" s="3">
        <f t="shared" si="13"/>
        <v>657</v>
      </c>
      <c r="L8" s="4">
        <f t="shared" si="14"/>
        <v>10266</v>
      </c>
      <c r="M8" s="4">
        <f t="shared" si="15"/>
        <v>57159</v>
      </c>
      <c r="N8" s="12" t="str">
        <f t="shared" si="16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11821</v>
      </c>
      <c r="G9" s="2">
        <f t="shared" si="11"/>
        <v>59105</v>
      </c>
      <c r="H9" s="3"/>
      <c r="I9" s="3"/>
      <c r="J9" s="3">
        <f t="shared" ref="J9:J33" si="17">H9+I9</f>
        <v>0</v>
      </c>
      <c r="K9" s="3">
        <f t="shared" ref="K9:K33" si="18">F9-J9</f>
        <v>11821</v>
      </c>
      <c r="L9" s="4">
        <f t="shared" ref="L9:L33" si="19">J9*E9</f>
        <v>0</v>
      </c>
      <c r="M9" s="4">
        <f t="shared" ref="M9:M33" si="20">G9-L9</f>
        <v>59105</v>
      </c>
      <c r="N9" s="12" t="str">
        <f t="shared" ref="N9:N33" si="21">IF(M9&gt;0,"KEEP SELLING", "DO NOT SELL")</f>
        <v>KEEP SELLING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5346</v>
      </c>
      <c r="G10" s="2">
        <f t="shared" si="11"/>
        <v>26730</v>
      </c>
      <c r="H10" s="3"/>
      <c r="I10" s="3">
        <v>300</v>
      </c>
      <c r="J10" s="3">
        <f t="shared" si="17"/>
        <v>300</v>
      </c>
      <c r="K10" s="3">
        <f t="shared" si="18"/>
        <v>5046</v>
      </c>
      <c r="L10" s="4">
        <f t="shared" si="19"/>
        <v>1500</v>
      </c>
      <c r="M10" s="4">
        <f t="shared" si="20"/>
        <v>25230</v>
      </c>
      <c r="N10" s="12" t="str">
        <f t="shared" si="21"/>
        <v>KEEP SELLING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12875</v>
      </c>
      <c r="G11" s="2">
        <f t="shared" si="11"/>
        <v>25750</v>
      </c>
      <c r="H11" s="3">
        <v>70</v>
      </c>
      <c r="I11" s="3"/>
      <c r="J11" s="3">
        <f t="shared" si="17"/>
        <v>70</v>
      </c>
      <c r="K11" s="3">
        <f t="shared" si="18"/>
        <v>12805</v>
      </c>
      <c r="L11" s="4">
        <f t="shared" si="19"/>
        <v>140</v>
      </c>
      <c r="M11" s="4">
        <f t="shared" si="20"/>
        <v>25610</v>
      </c>
      <c r="N11" s="12" t="str">
        <f t="shared" si="21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4389</v>
      </c>
      <c r="G12" s="2">
        <f t="shared" si="11"/>
        <v>21945</v>
      </c>
      <c r="H12" s="3">
        <v>35</v>
      </c>
      <c r="I12" s="3">
        <v>40</v>
      </c>
      <c r="J12" s="3">
        <f t="shared" si="17"/>
        <v>75</v>
      </c>
      <c r="K12" s="3">
        <f t="shared" si="18"/>
        <v>4314</v>
      </c>
      <c r="L12" s="4">
        <f t="shared" si="19"/>
        <v>375</v>
      </c>
      <c r="M12" s="4">
        <f t="shared" si="20"/>
        <v>21570</v>
      </c>
      <c r="N12" s="12" t="str">
        <f t="shared" si="21"/>
        <v>KEEP SELLING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5</v>
      </c>
      <c r="G13" s="2">
        <f t="shared" si="11"/>
        <v>20</v>
      </c>
      <c r="H13" s="3"/>
      <c r="I13" s="3"/>
      <c r="J13" s="3">
        <f t="shared" si="17"/>
        <v>0</v>
      </c>
      <c r="K13" s="3">
        <f t="shared" si="18"/>
        <v>5</v>
      </c>
      <c r="L13" s="4">
        <f t="shared" si="19"/>
        <v>0</v>
      </c>
      <c r="M13" s="4">
        <f t="shared" si="20"/>
        <v>20</v>
      </c>
      <c r="N13" s="12" t="str">
        <f t="shared" si="21"/>
        <v>KEEP SELLING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866</v>
      </c>
      <c r="G14" s="2">
        <f t="shared" si="11"/>
        <v>69280</v>
      </c>
      <c r="H14" s="3">
        <v>171</v>
      </c>
      <c r="I14" s="3">
        <v>2</v>
      </c>
      <c r="J14" s="3">
        <f t="shared" si="17"/>
        <v>173</v>
      </c>
      <c r="K14" s="3">
        <f t="shared" si="18"/>
        <v>693</v>
      </c>
      <c r="L14" s="4">
        <f t="shared" si="19"/>
        <v>13840</v>
      </c>
      <c r="M14" s="4">
        <f t="shared" si="20"/>
        <v>55440</v>
      </c>
      <c r="N14" s="12" t="str">
        <f t="shared" si="21"/>
        <v>KEEP SELLING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5</v>
      </c>
      <c r="G15" s="2">
        <f t="shared" si="11"/>
        <v>50</v>
      </c>
      <c r="H15" s="3"/>
      <c r="I15" s="3"/>
      <c r="J15" s="3">
        <f t="shared" si="17"/>
        <v>0</v>
      </c>
      <c r="K15" s="3">
        <f t="shared" si="18"/>
        <v>5</v>
      </c>
      <c r="L15" s="4">
        <f t="shared" si="19"/>
        <v>0</v>
      </c>
      <c r="M15" s="4">
        <f t="shared" si="20"/>
        <v>50</v>
      </c>
      <c r="N15" s="12" t="str">
        <f t="shared" si="21"/>
        <v>KEEP SELLING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94</v>
      </c>
      <c r="G16" s="2">
        <f t="shared" si="11"/>
        <v>940</v>
      </c>
      <c r="H16" s="3"/>
      <c r="I16" s="3"/>
      <c r="J16" s="3">
        <f t="shared" si="17"/>
        <v>0</v>
      </c>
      <c r="K16" s="3">
        <f t="shared" si="18"/>
        <v>94</v>
      </c>
      <c r="L16" s="4">
        <f t="shared" si="19"/>
        <v>0</v>
      </c>
      <c r="M16" s="4">
        <f t="shared" si="20"/>
        <v>940</v>
      </c>
      <c r="N16" s="12" t="str">
        <f t="shared" si="21"/>
        <v>KEEP SELLING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5</v>
      </c>
      <c r="G17" s="2">
        <f t="shared" si="11"/>
        <v>50</v>
      </c>
      <c r="H17" s="3"/>
      <c r="I17" s="3"/>
      <c r="J17" s="3">
        <f t="shared" si="17"/>
        <v>0</v>
      </c>
      <c r="K17" s="3">
        <f t="shared" si="18"/>
        <v>5</v>
      </c>
      <c r="L17" s="4">
        <f t="shared" si="19"/>
        <v>0</v>
      </c>
      <c r="M17" s="4">
        <f t="shared" si="20"/>
        <v>50</v>
      </c>
      <c r="N17" s="12" t="str">
        <f t="shared" si="21"/>
        <v>KEEP SELLING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388</v>
      </c>
      <c r="G18" s="2">
        <f t="shared" si="11"/>
        <v>3880</v>
      </c>
      <c r="H18" s="3"/>
      <c r="I18" s="3"/>
      <c r="J18" s="3">
        <f t="shared" si="17"/>
        <v>0</v>
      </c>
      <c r="K18" s="3">
        <f t="shared" si="18"/>
        <v>388</v>
      </c>
      <c r="L18" s="4">
        <f t="shared" si="19"/>
        <v>0</v>
      </c>
      <c r="M18" s="4">
        <f t="shared" si="20"/>
        <v>3880</v>
      </c>
      <c r="N18" s="12" t="str">
        <f t="shared" si="21"/>
        <v>KEEP SELLING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5</v>
      </c>
      <c r="G19" s="2">
        <f t="shared" si="11"/>
        <v>50</v>
      </c>
      <c r="H19" s="3"/>
      <c r="I19" s="3"/>
      <c r="J19" s="3">
        <f t="shared" si="17"/>
        <v>0</v>
      </c>
      <c r="K19" s="3">
        <f t="shared" si="18"/>
        <v>5</v>
      </c>
      <c r="L19" s="4">
        <f t="shared" si="19"/>
        <v>0</v>
      </c>
      <c r="M19" s="4">
        <f t="shared" si="20"/>
        <v>50</v>
      </c>
      <c r="N19" s="12" t="str">
        <f t="shared" si="21"/>
        <v>KEEP SELLING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220</v>
      </c>
      <c r="G20" s="2">
        <f t="shared" si="11"/>
        <v>2200</v>
      </c>
      <c r="H20" s="3"/>
      <c r="I20" s="3"/>
      <c r="J20" s="3">
        <f t="shared" si="17"/>
        <v>0</v>
      </c>
      <c r="K20" s="3">
        <f t="shared" si="18"/>
        <v>220</v>
      </c>
      <c r="L20" s="4">
        <f t="shared" si="19"/>
        <v>0</v>
      </c>
      <c r="M20" s="4">
        <f t="shared" si="20"/>
        <v>2200</v>
      </c>
      <c r="N20" s="12" t="str">
        <f t="shared" si="21"/>
        <v>KEEP SELLING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5</v>
      </c>
      <c r="G21" s="2">
        <f t="shared" si="11"/>
        <v>50</v>
      </c>
      <c r="H21" s="3"/>
      <c r="I21" s="3"/>
      <c r="J21" s="3">
        <f t="shared" si="17"/>
        <v>0</v>
      </c>
      <c r="K21" s="3">
        <f t="shared" si="18"/>
        <v>5</v>
      </c>
      <c r="L21" s="4">
        <f t="shared" si="19"/>
        <v>0</v>
      </c>
      <c r="M21" s="4">
        <f t="shared" si="20"/>
        <v>50</v>
      </c>
      <c r="N21" s="12" t="str">
        <f t="shared" si="21"/>
        <v>KEEP SELLING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5</v>
      </c>
      <c r="G22" s="2">
        <f t="shared" si="11"/>
        <v>50</v>
      </c>
      <c r="H22" s="3"/>
      <c r="I22" s="3"/>
      <c r="J22" s="3">
        <f t="shared" si="17"/>
        <v>0</v>
      </c>
      <c r="K22" s="3">
        <f t="shared" si="18"/>
        <v>5</v>
      </c>
      <c r="L22" s="4">
        <f t="shared" si="19"/>
        <v>0</v>
      </c>
      <c r="M22" s="4">
        <f t="shared" si="20"/>
        <v>50</v>
      </c>
      <c r="N22" s="12" t="str">
        <f t="shared" si="21"/>
        <v>KEEP SELLING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60</v>
      </c>
      <c r="G23" s="2">
        <f t="shared" si="11"/>
        <v>600</v>
      </c>
      <c r="H23" s="3"/>
      <c r="I23" s="3"/>
      <c r="J23" s="3">
        <f t="shared" si="17"/>
        <v>0</v>
      </c>
      <c r="K23" s="3">
        <f t="shared" si="18"/>
        <v>60</v>
      </c>
      <c r="L23" s="4">
        <f t="shared" si="19"/>
        <v>0</v>
      </c>
      <c r="M23" s="4">
        <f t="shared" si="20"/>
        <v>600</v>
      </c>
      <c r="N23" s="12" t="str">
        <f t="shared" si="21"/>
        <v>KEEP SELLING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5</v>
      </c>
      <c r="G24" s="2">
        <f t="shared" si="11"/>
        <v>50</v>
      </c>
      <c r="H24" s="3"/>
      <c r="I24" s="3"/>
      <c r="J24" s="3">
        <f t="shared" si="17"/>
        <v>0</v>
      </c>
      <c r="K24" s="3">
        <f t="shared" si="18"/>
        <v>5</v>
      </c>
      <c r="L24" s="4">
        <f t="shared" si="19"/>
        <v>0</v>
      </c>
      <c r="M24" s="4">
        <f t="shared" si="20"/>
        <v>50</v>
      </c>
      <c r="N24" s="12" t="str">
        <f t="shared" si="21"/>
        <v>KEEP SELLING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18</v>
      </c>
      <c r="G25" s="2">
        <f t="shared" si="11"/>
        <v>180</v>
      </c>
      <c r="H25" s="3"/>
      <c r="I25" s="3"/>
      <c r="J25" s="3">
        <f t="shared" si="17"/>
        <v>0</v>
      </c>
      <c r="K25" s="3">
        <f t="shared" si="18"/>
        <v>18</v>
      </c>
      <c r="L25" s="4">
        <f t="shared" si="19"/>
        <v>0</v>
      </c>
      <c r="M25" s="4">
        <f t="shared" si="20"/>
        <v>180</v>
      </c>
      <c r="N25" s="12" t="str">
        <f t="shared" si="21"/>
        <v>KEEP SELLING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5</v>
      </c>
      <c r="G26" s="2">
        <f t="shared" si="11"/>
        <v>50</v>
      </c>
      <c r="H26" s="3"/>
      <c r="I26" s="3"/>
      <c r="J26" s="3">
        <f t="shared" si="17"/>
        <v>0</v>
      </c>
      <c r="K26" s="3">
        <f t="shared" si="18"/>
        <v>5</v>
      </c>
      <c r="L26" s="4">
        <f t="shared" si="19"/>
        <v>0</v>
      </c>
      <c r="M26" s="4">
        <f t="shared" si="20"/>
        <v>50</v>
      </c>
      <c r="N26" s="12" t="str">
        <f t="shared" si="21"/>
        <v>KEEP SELLING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90</v>
      </c>
      <c r="G27" s="2">
        <f t="shared" si="11"/>
        <v>900</v>
      </c>
      <c r="H27" s="3"/>
      <c r="I27" s="3"/>
      <c r="J27" s="3">
        <f t="shared" si="17"/>
        <v>0</v>
      </c>
      <c r="K27" s="3">
        <f t="shared" si="18"/>
        <v>90</v>
      </c>
      <c r="L27" s="4">
        <f t="shared" si="19"/>
        <v>0</v>
      </c>
      <c r="M27" s="4">
        <f t="shared" si="20"/>
        <v>900</v>
      </c>
      <c r="N27" s="12" t="str">
        <f t="shared" si="21"/>
        <v>KEEP SELLING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5</v>
      </c>
      <c r="G28" s="2">
        <f t="shared" si="11"/>
        <v>50</v>
      </c>
      <c r="H28" s="3"/>
      <c r="I28" s="3"/>
      <c r="J28" s="3">
        <f t="shared" si="17"/>
        <v>0</v>
      </c>
      <c r="K28" s="3">
        <f t="shared" si="18"/>
        <v>5</v>
      </c>
      <c r="L28" s="4">
        <f t="shared" si="19"/>
        <v>0</v>
      </c>
      <c r="M28" s="4">
        <f t="shared" si="20"/>
        <v>50</v>
      </c>
      <c r="N28" s="12" t="str">
        <f t="shared" si="21"/>
        <v>KEEP SELLING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18</v>
      </c>
      <c r="G29" s="2">
        <f t="shared" si="11"/>
        <v>180</v>
      </c>
      <c r="H29" s="3"/>
      <c r="I29" s="3"/>
      <c r="J29" s="3">
        <f t="shared" si="17"/>
        <v>0</v>
      </c>
      <c r="K29" s="3">
        <f t="shared" si="18"/>
        <v>18</v>
      </c>
      <c r="L29" s="4">
        <f t="shared" si="19"/>
        <v>0</v>
      </c>
      <c r="M29" s="4">
        <f t="shared" si="20"/>
        <v>180</v>
      </c>
      <c r="N29" s="12" t="str">
        <f t="shared" si="21"/>
        <v>KEEP SELLING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5</v>
      </c>
      <c r="G30" s="2">
        <f t="shared" si="11"/>
        <v>50</v>
      </c>
      <c r="H30" s="3"/>
      <c r="I30" s="3"/>
      <c r="J30" s="3">
        <f t="shared" si="17"/>
        <v>0</v>
      </c>
      <c r="K30" s="3">
        <f t="shared" si="18"/>
        <v>5</v>
      </c>
      <c r="L30" s="4">
        <f t="shared" si="19"/>
        <v>0</v>
      </c>
      <c r="M30" s="4">
        <f t="shared" si="20"/>
        <v>50</v>
      </c>
      <c r="N30" s="12" t="str">
        <f t="shared" si="21"/>
        <v>KEEP SELLING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5</v>
      </c>
      <c r="G31" s="2">
        <f t="shared" si="11"/>
        <v>50</v>
      </c>
      <c r="H31" s="3"/>
      <c r="I31" s="3"/>
      <c r="J31" s="3">
        <f t="shared" si="17"/>
        <v>0</v>
      </c>
      <c r="K31" s="3">
        <f t="shared" si="18"/>
        <v>5</v>
      </c>
      <c r="L31" s="4">
        <f t="shared" si="19"/>
        <v>0</v>
      </c>
      <c r="M31" s="4">
        <f t="shared" si="20"/>
        <v>50</v>
      </c>
      <c r="N31" s="12" t="str">
        <f t="shared" si="21"/>
        <v>KEEP SELLING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71</v>
      </c>
      <c r="G32" s="2">
        <f t="shared" si="11"/>
        <v>710</v>
      </c>
      <c r="H32" s="3"/>
      <c r="I32" s="3"/>
      <c r="J32" s="3">
        <f t="shared" si="17"/>
        <v>0</v>
      </c>
      <c r="K32" s="3">
        <f t="shared" si="18"/>
        <v>71</v>
      </c>
      <c r="L32" s="4">
        <f t="shared" si="19"/>
        <v>0</v>
      </c>
      <c r="M32" s="4">
        <f t="shared" si="20"/>
        <v>710</v>
      </c>
      <c r="N32" s="12" t="str">
        <f t="shared" si="21"/>
        <v>KEEP SELLING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5</v>
      </c>
      <c r="G33" s="2">
        <f t="shared" si="11"/>
        <v>50</v>
      </c>
      <c r="H33" s="3"/>
      <c r="I33" s="3"/>
      <c r="J33" s="3">
        <f t="shared" si="17"/>
        <v>0</v>
      </c>
      <c r="K33" s="3">
        <f t="shared" si="18"/>
        <v>5</v>
      </c>
      <c r="L33" s="4">
        <f t="shared" si="19"/>
        <v>0</v>
      </c>
      <c r="M33" s="4">
        <f t="shared" si="20"/>
        <v>50</v>
      </c>
      <c r="N33" s="12" t="str">
        <f t="shared" si="21"/>
        <v>KEEP SELLING</v>
      </c>
    </row>
  </sheetData>
  <autoFilter ref="A1:N33" xr:uid="{824B3D37-9A6F-4650-B475-D01F00096AE9}"/>
  <conditionalFormatting sqref="H2:I33 K2:N33">
    <cfRule type="cellIs" dxfId="6" priority="1" operator="lessThan">
      <formula>0</formula>
    </cfRule>
  </conditionalFormatting>
  <conditionalFormatting sqref="N1:N1048576">
    <cfRule type="containsText" dxfId="5" priority="26" operator="containsText" text="DO NOT SELL">
      <formula>NOT(ISERROR(SEARCH("DO NOT SELL",N1)))</formula>
    </cfRule>
    <cfRule type="containsText" dxfId="4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BB47-2478-41FE-B9E8-1B9E8854D84B}">
  <dimension ref="A1:T33"/>
  <sheetViews>
    <sheetView showGridLines="0" topLeftCell="B1" zoomScale="130" zoomScaleNormal="130" workbookViewId="0">
      <pane ySplit="1" topLeftCell="A2" activePane="bottomLeft" state="frozen"/>
      <selection pane="bottomLeft" activeCell="J4" sqref="J4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33" si="0">E2*F2</f>
        <v>83745</v>
      </c>
      <c r="H2" s="3">
        <v>1069</v>
      </c>
      <c r="I2" s="3">
        <v>702</v>
      </c>
      <c r="J2" s="3">
        <v>1771</v>
      </c>
      <c r="K2" s="3">
        <f t="shared" ref="K2:K33" si="1">F2-J2</f>
        <v>90</v>
      </c>
      <c r="L2" s="4">
        <f t="shared" ref="L2:L33" si="2">J2*E2</f>
        <v>79695</v>
      </c>
      <c r="M2" s="4">
        <f t="shared" ref="M2:M33" si="3">G2-L2</f>
        <v>4050</v>
      </c>
      <c r="N2" s="12" t="str">
        <f t="shared" ref="N2:N33" si="4">IF(M2&gt;0,"KEEP SELLING", "DO NOT SELL")</f>
        <v>KEEP SELLING</v>
      </c>
      <c r="P2" s="10">
        <f>SUM(G2:G4)</f>
        <v>389505</v>
      </c>
      <c r="Q2" s="9">
        <f>SUM(L2:L4)</f>
        <v>409065</v>
      </c>
      <c r="R2" s="11">
        <f>P2-Q2</f>
        <v>-19560</v>
      </c>
      <c r="S2" s="11">
        <f>P3-Q3</f>
        <v>11970</v>
      </c>
      <c r="T2" s="11">
        <f>Q3-R3</f>
        <v>48476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1242</v>
      </c>
      <c r="I3" s="3">
        <v>1965</v>
      </c>
      <c r="J3" s="3">
        <v>3207</v>
      </c>
      <c r="K3" s="3">
        <f t="shared" si="1"/>
        <v>45</v>
      </c>
      <c r="L3" s="4">
        <f t="shared" si="2"/>
        <v>160350</v>
      </c>
      <c r="M3" s="4">
        <f t="shared" si="3"/>
        <v>2250</v>
      </c>
      <c r="N3" s="12" t="str">
        <f t="shared" si="4"/>
        <v>KEEP SELLING</v>
      </c>
      <c r="P3" s="10">
        <f>SUM(G5:G8)</f>
        <v>60446</v>
      </c>
      <c r="Q3" s="9">
        <f>SUM(L5:L8)</f>
        <v>48476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1926</v>
      </c>
      <c r="I4" s="3">
        <v>891</v>
      </c>
      <c r="J4" s="3">
        <v>2817</v>
      </c>
      <c r="K4" s="3">
        <f t="shared" si="1"/>
        <v>-431</v>
      </c>
      <c r="L4" s="4">
        <f t="shared" si="2"/>
        <v>169020</v>
      </c>
      <c r="M4" s="4">
        <f t="shared" si="3"/>
        <v>-25860</v>
      </c>
      <c r="N4" s="12" t="str">
        <f t="shared" si="4"/>
        <v>DO NOT SELL</v>
      </c>
      <c r="P4" s="10">
        <f>SUM(G9:G33)</f>
        <v>16355</v>
      </c>
      <c r="Q4" s="9">
        <f>SUM(L9:L33)</f>
        <v>15855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0</v>
      </c>
      <c r="G5" s="2">
        <f t="shared" si="0"/>
        <v>0</v>
      </c>
      <c r="H5" s="3"/>
      <c r="I5" s="3"/>
      <c r="J5" s="3">
        <v>0</v>
      </c>
      <c r="K5" s="3">
        <f t="shared" si="1"/>
        <v>0</v>
      </c>
      <c r="L5" s="4">
        <f t="shared" si="2"/>
        <v>0</v>
      </c>
      <c r="M5" s="4">
        <f t="shared" si="3"/>
        <v>0</v>
      </c>
      <c r="N5" s="12" t="str">
        <f t="shared" si="4"/>
        <v>DO NOT SELL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1384</v>
      </c>
      <c r="G6" s="2">
        <f t="shared" si="0"/>
        <v>27680</v>
      </c>
      <c r="H6" s="3">
        <v>1131</v>
      </c>
      <c r="I6" s="3">
        <v>253</v>
      </c>
      <c r="J6" s="3">
        <v>1384</v>
      </c>
      <c r="K6" s="3">
        <f t="shared" si="1"/>
        <v>0</v>
      </c>
      <c r="L6" s="4">
        <f t="shared" si="2"/>
        <v>27680</v>
      </c>
      <c r="M6" s="4">
        <f t="shared" si="3"/>
        <v>0</v>
      </c>
      <c r="N6" s="12" t="str">
        <f t="shared" si="4"/>
        <v>DO NOT SELL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291</v>
      </c>
      <c r="G7" s="2">
        <f t="shared" si="0"/>
        <v>15714</v>
      </c>
      <c r="H7" s="3">
        <v>191</v>
      </c>
      <c r="I7" s="3">
        <v>4</v>
      </c>
      <c r="J7" s="3">
        <v>195</v>
      </c>
      <c r="K7" s="3">
        <f t="shared" si="1"/>
        <v>96</v>
      </c>
      <c r="L7" s="4">
        <f t="shared" si="2"/>
        <v>10530</v>
      </c>
      <c r="M7" s="4">
        <f t="shared" si="3"/>
        <v>5184</v>
      </c>
      <c r="N7" s="12" t="str">
        <f t="shared" si="4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196</v>
      </c>
      <c r="G8" s="2">
        <f t="shared" si="0"/>
        <v>17052</v>
      </c>
      <c r="H8" s="3">
        <v>96</v>
      </c>
      <c r="I8" s="3">
        <v>22</v>
      </c>
      <c r="J8" s="3">
        <v>118</v>
      </c>
      <c r="K8" s="3">
        <f t="shared" si="1"/>
        <v>78</v>
      </c>
      <c r="L8" s="4">
        <f t="shared" si="2"/>
        <v>10266</v>
      </c>
      <c r="M8" s="4">
        <f t="shared" si="3"/>
        <v>6786</v>
      </c>
      <c r="N8" s="12" t="str">
        <f t="shared" si="4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0</v>
      </c>
      <c r="G9" s="2">
        <f t="shared" si="0"/>
        <v>0</v>
      </c>
      <c r="H9" s="3"/>
      <c r="I9" s="3"/>
      <c r="J9" s="3">
        <v>0</v>
      </c>
      <c r="K9" s="3">
        <f t="shared" si="1"/>
        <v>0</v>
      </c>
      <c r="L9" s="4">
        <f t="shared" si="2"/>
        <v>0</v>
      </c>
      <c r="M9" s="4">
        <f t="shared" si="3"/>
        <v>0</v>
      </c>
      <c r="N9" s="12" t="str">
        <f t="shared" si="4"/>
        <v>DO NOT SELL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300</v>
      </c>
      <c r="G10" s="2">
        <f t="shared" si="0"/>
        <v>1500</v>
      </c>
      <c r="H10" s="3"/>
      <c r="I10" s="3">
        <v>300</v>
      </c>
      <c r="J10" s="3">
        <v>300</v>
      </c>
      <c r="K10" s="3">
        <f t="shared" si="1"/>
        <v>0</v>
      </c>
      <c r="L10" s="4">
        <f t="shared" si="2"/>
        <v>1500</v>
      </c>
      <c r="M10" s="4">
        <f t="shared" si="3"/>
        <v>0</v>
      </c>
      <c r="N10" s="12" t="str">
        <f t="shared" si="4"/>
        <v>DO NOT SELL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170</v>
      </c>
      <c r="G11" s="2">
        <f t="shared" si="0"/>
        <v>340</v>
      </c>
      <c r="H11" s="3">
        <v>70</v>
      </c>
      <c r="I11" s="3"/>
      <c r="J11" s="3">
        <v>70</v>
      </c>
      <c r="K11" s="3">
        <f t="shared" si="1"/>
        <v>100</v>
      </c>
      <c r="L11" s="4">
        <f t="shared" si="2"/>
        <v>140</v>
      </c>
      <c r="M11" s="4">
        <f t="shared" si="3"/>
        <v>200</v>
      </c>
      <c r="N11" s="12" t="str">
        <f t="shared" si="4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135</v>
      </c>
      <c r="G12" s="2">
        <f t="shared" si="0"/>
        <v>675</v>
      </c>
      <c r="H12" s="3">
        <v>35</v>
      </c>
      <c r="I12" s="3">
        <v>40</v>
      </c>
      <c r="J12" s="3">
        <v>75</v>
      </c>
      <c r="K12" s="3">
        <f t="shared" si="1"/>
        <v>60</v>
      </c>
      <c r="L12" s="4">
        <f t="shared" si="2"/>
        <v>375</v>
      </c>
      <c r="M12" s="4">
        <f t="shared" si="3"/>
        <v>300</v>
      </c>
      <c r="N12" s="12" t="str">
        <f t="shared" si="4"/>
        <v>KEEP SELLING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0</v>
      </c>
      <c r="G13" s="2">
        <f t="shared" si="0"/>
        <v>0</v>
      </c>
      <c r="H13" s="3"/>
      <c r="I13" s="3"/>
      <c r="J13" s="3">
        <v>0</v>
      </c>
      <c r="K13" s="3">
        <f t="shared" si="1"/>
        <v>0</v>
      </c>
      <c r="L13" s="4">
        <f t="shared" si="2"/>
        <v>0</v>
      </c>
      <c r="M13" s="4">
        <f t="shared" si="3"/>
        <v>0</v>
      </c>
      <c r="N13" s="12" t="str">
        <f t="shared" si="4"/>
        <v>DO NOT SELL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173</v>
      </c>
      <c r="G14" s="2">
        <f t="shared" si="0"/>
        <v>13840</v>
      </c>
      <c r="H14" s="3">
        <v>171</v>
      </c>
      <c r="I14" s="3">
        <v>2</v>
      </c>
      <c r="J14" s="3">
        <v>173</v>
      </c>
      <c r="K14" s="3">
        <f t="shared" si="1"/>
        <v>0</v>
      </c>
      <c r="L14" s="4">
        <f t="shared" si="2"/>
        <v>13840</v>
      </c>
      <c r="M14" s="4">
        <f t="shared" si="3"/>
        <v>0</v>
      </c>
      <c r="N14" s="12" t="str">
        <f t="shared" si="4"/>
        <v>DO NOT SELL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0</v>
      </c>
      <c r="G15" s="2">
        <f t="shared" si="0"/>
        <v>0</v>
      </c>
      <c r="H15" s="3"/>
      <c r="I15" s="3"/>
      <c r="J15" s="3">
        <v>0</v>
      </c>
      <c r="K15" s="3">
        <f t="shared" si="1"/>
        <v>0</v>
      </c>
      <c r="L15" s="4">
        <f t="shared" si="2"/>
        <v>0</v>
      </c>
      <c r="M15" s="4">
        <f t="shared" si="3"/>
        <v>0</v>
      </c>
      <c r="N15" s="12" t="str">
        <f t="shared" si="4"/>
        <v>DO NOT SELL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0</v>
      </c>
      <c r="G16" s="2">
        <f t="shared" si="0"/>
        <v>0</v>
      </c>
      <c r="H16" s="3"/>
      <c r="I16" s="3"/>
      <c r="J16" s="3">
        <v>0</v>
      </c>
      <c r="K16" s="3">
        <f t="shared" si="1"/>
        <v>0</v>
      </c>
      <c r="L16" s="4">
        <f t="shared" si="2"/>
        <v>0</v>
      </c>
      <c r="M16" s="4">
        <f t="shared" si="3"/>
        <v>0</v>
      </c>
      <c r="N16" s="12" t="str">
        <f t="shared" si="4"/>
        <v>DO NOT SELL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0</v>
      </c>
      <c r="G17" s="2">
        <f t="shared" si="0"/>
        <v>0</v>
      </c>
      <c r="H17" s="3"/>
      <c r="I17" s="3"/>
      <c r="J17" s="3">
        <v>0</v>
      </c>
      <c r="K17" s="3">
        <f t="shared" si="1"/>
        <v>0</v>
      </c>
      <c r="L17" s="4">
        <f t="shared" si="2"/>
        <v>0</v>
      </c>
      <c r="M17" s="4">
        <f t="shared" si="3"/>
        <v>0</v>
      </c>
      <c r="N17" s="12" t="str">
        <f t="shared" si="4"/>
        <v>DO NOT SELL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0</v>
      </c>
      <c r="G18" s="2">
        <f t="shared" si="0"/>
        <v>0</v>
      </c>
      <c r="H18" s="3"/>
      <c r="I18" s="3"/>
      <c r="J18" s="3">
        <v>0</v>
      </c>
      <c r="K18" s="3">
        <f t="shared" si="1"/>
        <v>0</v>
      </c>
      <c r="L18" s="4">
        <f t="shared" si="2"/>
        <v>0</v>
      </c>
      <c r="M18" s="4">
        <f t="shared" si="3"/>
        <v>0</v>
      </c>
      <c r="N18" s="12" t="str">
        <f t="shared" si="4"/>
        <v>DO NOT SELL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0</v>
      </c>
      <c r="G19" s="2">
        <f t="shared" si="0"/>
        <v>0</v>
      </c>
      <c r="H19" s="3"/>
      <c r="I19" s="3"/>
      <c r="J19" s="3">
        <v>0</v>
      </c>
      <c r="K19" s="3">
        <f t="shared" si="1"/>
        <v>0</v>
      </c>
      <c r="L19" s="4">
        <f t="shared" si="2"/>
        <v>0</v>
      </c>
      <c r="M19" s="4">
        <f t="shared" si="3"/>
        <v>0</v>
      </c>
      <c r="N19" s="12" t="str">
        <f t="shared" si="4"/>
        <v>DO NOT SELL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0</v>
      </c>
      <c r="G20" s="2">
        <f t="shared" si="0"/>
        <v>0</v>
      </c>
      <c r="H20" s="3"/>
      <c r="I20" s="3"/>
      <c r="J20" s="3">
        <v>0</v>
      </c>
      <c r="K20" s="3">
        <f t="shared" si="1"/>
        <v>0</v>
      </c>
      <c r="L20" s="4">
        <f t="shared" si="2"/>
        <v>0</v>
      </c>
      <c r="M20" s="4">
        <f t="shared" si="3"/>
        <v>0</v>
      </c>
      <c r="N20" s="12" t="str">
        <f t="shared" si="4"/>
        <v>DO NOT SELL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0</v>
      </c>
      <c r="G21" s="2">
        <f t="shared" si="0"/>
        <v>0</v>
      </c>
      <c r="H21" s="3"/>
      <c r="I21" s="3"/>
      <c r="J21" s="3">
        <v>0</v>
      </c>
      <c r="K21" s="3">
        <f t="shared" si="1"/>
        <v>0</v>
      </c>
      <c r="L21" s="4">
        <f t="shared" si="2"/>
        <v>0</v>
      </c>
      <c r="M21" s="4">
        <f t="shared" si="3"/>
        <v>0</v>
      </c>
      <c r="N21" s="12" t="str">
        <f t="shared" si="4"/>
        <v>DO NOT SELL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0</v>
      </c>
      <c r="G22" s="2">
        <f t="shared" si="0"/>
        <v>0</v>
      </c>
      <c r="H22" s="3"/>
      <c r="I22" s="3"/>
      <c r="J22" s="3">
        <v>0</v>
      </c>
      <c r="K22" s="3">
        <f t="shared" si="1"/>
        <v>0</v>
      </c>
      <c r="L22" s="4">
        <f t="shared" si="2"/>
        <v>0</v>
      </c>
      <c r="M22" s="4">
        <f t="shared" si="3"/>
        <v>0</v>
      </c>
      <c r="N22" s="12" t="str">
        <f t="shared" si="4"/>
        <v>DO NOT SELL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0</v>
      </c>
      <c r="G23" s="2">
        <f t="shared" si="0"/>
        <v>0</v>
      </c>
      <c r="H23" s="3"/>
      <c r="I23" s="3"/>
      <c r="J23" s="3">
        <v>0</v>
      </c>
      <c r="K23" s="3">
        <f t="shared" si="1"/>
        <v>0</v>
      </c>
      <c r="L23" s="4">
        <f t="shared" si="2"/>
        <v>0</v>
      </c>
      <c r="M23" s="4">
        <f t="shared" si="3"/>
        <v>0</v>
      </c>
      <c r="N23" s="12" t="str">
        <f t="shared" si="4"/>
        <v>DO NOT SELL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0</v>
      </c>
      <c r="G24" s="2">
        <f t="shared" si="0"/>
        <v>0</v>
      </c>
      <c r="H24" s="3"/>
      <c r="I24" s="3"/>
      <c r="J24" s="3">
        <v>0</v>
      </c>
      <c r="K24" s="3">
        <f t="shared" si="1"/>
        <v>0</v>
      </c>
      <c r="L24" s="4">
        <f t="shared" si="2"/>
        <v>0</v>
      </c>
      <c r="M24" s="4">
        <f t="shared" si="3"/>
        <v>0</v>
      </c>
      <c r="N24" s="12" t="str">
        <f t="shared" si="4"/>
        <v>DO NOT SELL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0</v>
      </c>
      <c r="G25" s="2">
        <f t="shared" si="0"/>
        <v>0</v>
      </c>
      <c r="H25" s="3"/>
      <c r="I25" s="3"/>
      <c r="J25" s="3">
        <v>0</v>
      </c>
      <c r="K25" s="3">
        <f t="shared" si="1"/>
        <v>0</v>
      </c>
      <c r="L25" s="4">
        <f t="shared" si="2"/>
        <v>0</v>
      </c>
      <c r="M25" s="4">
        <f t="shared" si="3"/>
        <v>0</v>
      </c>
      <c r="N25" s="12" t="str">
        <f t="shared" si="4"/>
        <v>DO NOT SELL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0</v>
      </c>
      <c r="G26" s="2">
        <f t="shared" si="0"/>
        <v>0</v>
      </c>
      <c r="H26" s="3"/>
      <c r="I26" s="3"/>
      <c r="J26" s="3">
        <v>0</v>
      </c>
      <c r="K26" s="3">
        <f t="shared" si="1"/>
        <v>0</v>
      </c>
      <c r="L26" s="4">
        <f t="shared" si="2"/>
        <v>0</v>
      </c>
      <c r="M26" s="4">
        <f t="shared" si="3"/>
        <v>0</v>
      </c>
      <c r="N26" s="12" t="str">
        <f t="shared" si="4"/>
        <v>DO NOT SELL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0</v>
      </c>
      <c r="G27" s="2">
        <f t="shared" si="0"/>
        <v>0</v>
      </c>
      <c r="H27" s="3"/>
      <c r="I27" s="3"/>
      <c r="J27" s="3">
        <v>0</v>
      </c>
      <c r="K27" s="3">
        <f t="shared" si="1"/>
        <v>0</v>
      </c>
      <c r="L27" s="4">
        <f t="shared" si="2"/>
        <v>0</v>
      </c>
      <c r="M27" s="4">
        <f t="shared" si="3"/>
        <v>0</v>
      </c>
      <c r="N27" s="12" t="str">
        <f t="shared" si="4"/>
        <v>DO NOT SELL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0</v>
      </c>
      <c r="G28" s="2">
        <f t="shared" si="0"/>
        <v>0</v>
      </c>
      <c r="H28" s="3"/>
      <c r="I28" s="3"/>
      <c r="J28" s="3">
        <v>0</v>
      </c>
      <c r="K28" s="3">
        <f t="shared" si="1"/>
        <v>0</v>
      </c>
      <c r="L28" s="4">
        <f t="shared" si="2"/>
        <v>0</v>
      </c>
      <c r="M28" s="4">
        <f t="shared" si="3"/>
        <v>0</v>
      </c>
      <c r="N28" s="12" t="str">
        <f t="shared" si="4"/>
        <v>DO NOT SELL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0</v>
      </c>
      <c r="G29" s="2">
        <f t="shared" si="0"/>
        <v>0</v>
      </c>
      <c r="H29" s="3"/>
      <c r="I29" s="3"/>
      <c r="J29" s="3">
        <v>0</v>
      </c>
      <c r="K29" s="3">
        <f t="shared" si="1"/>
        <v>0</v>
      </c>
      <c r="L29" s="4">
        <f t="shared" si="2"/>
        <v>0</v>
      </c>
      <c r="M29" s="4">
        <f t="shared" si="3"/>
        <v>0</v>
      </c>
      <c r="N29" s="12" t="str">
        <f t="shared" si="4"/>
        <v>DO NOT SELL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0</v>
      </c>
      <c r="G30" s="2">
        <f t="shared" si="0"/>
        <v>0</v>
      </c>
      <c r="H30" s="3"/>
      <c r="I30" s="3"/>
      <c r="J30" s="3">
        <v>0</v>
      </c>
      <c r="K30" s="3">
        <f t="shared" si="1"/>
        <v>0</v>
      </c>
      <c r="L30" s="4">
        <f t="shared" si="2"/>
        <v>0</v>
      </c>
      <c r="M30" s="4">
        <f t="shared" si="3"/>
        <v>0</v>
      </c>
      <c r="N30" s="12" t="str">
        <f t="shared" si="4"/>
        <v>DO NOT SELL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0</v>
      </c>
      <c r="G31" s="2">
        <f t="shared" si="0"/>
        <v>0</v>
      </c>
      <c r="H31" s="3"/>
      <c r="I31" s="3"/>
      <c r="J31" s="3">
        <v>0</v>
      </c>
      <c r="K31" s="3">
        <f t="shared" si="1"/>
        <v>0</v>
      </c>
      <c r="L31" s="4">
        <f t="shared" si="2"/>
        <v>0</v>
      </c>
      <c r="M31" s="4">
        <f t="shared" si="3"/>
        <v>0</v>
      </c>
      <c r="N31" s="12" t="str">
        <f t="shared" si="4"/>
        <v>DO NOT SELL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0</v>
      </c>
      <c r="G32" s="2">
        <f t="shared" si="0"/>
        <v>0</v>
      </c>
      <c r="H32" s="3"/>
      <c r="I32" s="3"/>
      <c r="J32" s="3">
        <v>0</v>
      </c>
      <c r="K32" s="3">
        <f t="shared" si="1"/>
        <v>0</v>
      </c>
      <c r="L32" s="4">
        <f t="shared" si="2"/>
        <v>0</v>
      </c>
      <c r="M32" s="4">
        <f t="shared" si="3"/>
        <v>0</v>
      </c>
      <c r="N32" s="12" t="str">
        <f t="shared" si="4"/>
        <v>DO NOT SELL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0</v>
      </c>
      <c r="G33" s="2">
        <f t="shared" si="0"/>
        <v>0</v>
      </c>
      <c r="H33" s="3"/>
      <c r="I33" s="3"/>
      <c r="J33" s="3">
        <v>0</v>
      </c>
      <c r="K33" s="3">
        <f t="shared" si="1"/>
        <v>0</v>
      </c>
      <c r="L33" s="4">
        <f t="shared" si="2"/>
        <v>0</v>
      </c>
      <c r="M33" s="4">
        <f t="shared" si="3"/>
        <v>0</v>
      </c>
      <c r="N33" s="12" t="str">
        <f t="shared" si="4"/>
        <v>DO NOT SELL</v>
      </c>
    </row>
  </sheetData>
  <conditionalFormatting sqref="H2:I33">
    <cfRule type="cellIs" dxfId="3" priority="1" operator="lessThan">
      <formula>0</formula>
    </cfRule>
  </conditionalFormatting>
  <conditionalFormatting sqref="K2:N33">
    <cfRule type="cellIs" dxfId="2" priority="2" operator="lessThan">
      <formula>0</formula>
    </cfRule>
  </conditionalFormatting>
  <conditionalFormatting sqref="N1:N1048576">
    <cfRule type="containsText" dxfId="1" priority="3" operator="containsText" text="DO NOT SELL">
      <formula>NOT(ISERROR(SEARCH("DO NOT SELL",N1)))</formula>
    </cfRule>
    <cfRule type="containsText" dxfId="0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requesting - Waiting approval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2026-02-04T22:23:29Z</dcterms:modified>
  <cp:category/>
  <cp:contentStatus/>
</cp:coreProperties>
</file>