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\"/>
    </mc:Choice>
  </mc:AlternateContent>
  <xr:revisionPtr revIDLastSave="0" documentId="13_ncr:1_{ABD7A70E-0D3E-42C4-ACCD-4215DB087E1F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4" l="1"/>
  <c r="L13" i="14" s="1"/>
  <c r="G13" i="14"/>
  <c r="J23" i="14"/>
  <c r="L23" i="14" s="1"/>
  <c r="G23" i="14"/>
  <c r="J76" i="14"/>
  <c r="K76" i="14" s="1"/>
  <c r="G76" i="14"/>
  <c r="J75" i="14"/>
  <c r="K75" i="14" s="1"/>
  <c r="G75" i="14"/>
  <c r="J16" i="14"/>
  <c r="L16" i="14" s="1"/>
  <c r="G16" i="14"/>
  <c r="M13" i="14" l="1"/>
  <c r="N13" i="14" s="1"/>
  <c r="K13" i="14"/>
  <c r="M23" i="14"/>
  <c r="N23" i="14" s="1"/>
  <c r="K23" i="14"/>
  <c r="L75" i="14"/>
  <c r="M75" i="14" s="1"/>
  <c r="N75" i="14" s="1"/>
  <c r="L76" i="14"/>
  <c r="M76" i="14" s="1"/>
  <c r="N76" i="14" s="1"/>
  <c r="M16" i="14"/>
  <c r="N16" i="14" s="1"/>
  <c r="K16" i="14"/>
  <c r="J45" i="14" l="1"/>
  <c r="K45" i="14" s="1"/>
  <c r="J74" i="14"/>
  <c r="L74" i="14" s="1"/>
  <c r="G74" i="14"/>
  <c r="J73" i="14"/>
  <c r="L73" i="14" s="1"/>
  <c r="G73" i="14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K67" i="14" s="1"/>
  <c r="G67" i="14"/>
  <c r="J66" i="14"/>
  <c r="L66" i="14" s="1"/>
  <c r="G66" i="14"/>
  <c r="J65" i="14"/>
  <c r="L65" i="14" s="1"/>
  <c r="G65" i="14"/>
  <c r="J64" i="14"/>
  <c r="K64" i="14" s="1"/>
  <c r="G64" i="14"/>
  <c r="J63" i="14"/>
  <c r="K63" i="14" s="1"/>
  <c r="G63" i="14"/>
  <c r="J62" i="14"/>
  <c r="K62" i="14" s="1"/>
  <c r="G62" i="14"/>
  <c r="J61" i="14"/>
  <c r="L61" i="14" s="1"/>
  <c r="G61" i="14"/>
  <c r="J60" i="14"/>
  <c r="K60" i="14" s="1"/>
  <c r="G60" i="14"/>
  <c r="J59" i="14"/>
  <c r="K59" i="14" s="1"/>
  <c r="G59" i="14"/>
  <c r="J58" i="14"/>
  <c r="L58" i="14" s="1"/>
  <c r="G58" i="14"/>
  <c r="J57" i="14"/>
  <c r="L57" i="14" s="1"/>
  <c r="G57" i="14"/>
  <c r="J56" i="14"/>
  <c r="L56" i="14" s="1"/>
  <c r="G56" i="14"/>
  <c r="J55" i="14"/>
  <c r="K55" i="14" s="1"/>
  <c r="G55" i="14"/>
  <c r="J54" i="14"/>
  <c r="K54" i="14" s="1"/>
  <c r="G54" i="14"/>
  <c r="J53" i="14"/>
  <c r="L53" i="14" s="1"/>
  <c r="G53" i="14"/>
  <c r="J52" i="14"/>
  <c r="L52" i="14" s="1"/>
  <c r="G52" i="14"/>
  <c r="J51" i="14"/>
  <c r="L51" i="14" s="1"/>
  <c r="G51" i="14"/>
  <c r="J50" i="14"/>
  <c r="K50" i="14" s="1"/>
  <c r="G50" i="14"/>
  <c r="J49" i="14"/>
  <c r="K49" i="14" s="1"/>
  <c r="G49" i="14"/>
  <c r="J48" i="14"/>
  <c r="L48" i="14" s="1"/>
  <c r="G48" i="14"/>
  <c r="J47" i="14"/>
  <c r="L47" i="14" s="1"/>
  <c r="G47" i="14"/>
  <c r="J46" i="14"/>
  <c r="L46" i="14" s="1"/>
  <c r="G46" i="14"/>
  <c r="G45" i="14"/>
  <c r="J44" i="14"/>
  <c r="K44" i="14" s="1"/>
  <c r="G44" i="14"/>
  <c r="J43" i="14"/>
  <c r="L43" i="14" s="1"/>
  <c r="G43" i="14"/>
  <c r="J42" i="14"/>
  <c r="K42" i="14" s="1"/>
  <c r="G42" i="14"/>
  <c r="J41" i="14"/>
  <c r="K41" i="14" s="1"/>
  <c r="G41" i="14"/>
  <c r="J40" i="14"/>
  <c r="L40" i="14" s="1"/>
  <c r="G40" i="14"/>
  <c r="J39" i="14"/>
  <c r="L39" i="14" s="1"/>
  <c r="G39" i="14"/>
  <c r="J38" i="14"/>
  <c r="L38" i="14" s="1"/>
  <c r="G38" i="14"/>
  <c r="J37" i="14"/>
  <c r="K37" i="14" s="1"/>
  <c r="G37" i="14"/>
  <c r="J36" i="14"/>
  <c r="K36" i="14" s="1"/>
  <c r="G36" i="14"/>
  <c r="J14" i="14"/>
  <c r="K14" i="14" s="1"/>
  <c r="G14" i="14"/>
  <c r="J35" i="14"/>
  <c r="L35" i="14" s="1"/>
  <c r="G35" i="14"/>
  <c r="J34" i="14"/>
  <c r="L34" i="14" s="1"/>
  <c r="G34" i="14"/>
  <c r="J33" i="14"/>
  <c r="L33" i="14" s="1"/>
  <c r="G33" i="14"/>
  <c r="J32" i="14"/>
  <c r="K32" i="14" s="1"/>
  <c r="G32" i="14"/>
  <c r="J31" i="14"/>
  <c r="L31" i="14" s="1"/>
  <c r="G31" i="14"/>
  <c r="P4" i="14" s="1"/>
  <c r="J30" i="14"/>
  <c r="K30" i="14" s="1"/>
  <c r="G30" i="14"/>
  <c r="J29" i="14"/>
  <c r="L29" i="14" s="1"/>
  <c r="G29" i="14"/>
  <c r="J28" i="14"/>
  <c r="L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K24" i="14" s="1"/>
  <c r="G24" i="14"/>
  <c r="J22" i="14"/>
  <c r="K22" i="14" s="1"/>
  <c r="G22" i="14"/>
  <c r="J21" i="14"/>
  <c r="K21" i="14" s="1"/>
  <c r="G21" i="14"/>
  <c r="J20" i="14"/>
  <c r="L20" i="14" s="1"/>
  <c r="G20" i="14"/>
  <c r="J19" i="14"/>
  <c r="L19" i="14" s="1"/>
  <c r="G19" i="14"/>
  <c r="J18" i="14"/>
  <c r="K18" i="14" s="1"/>
  <c r="G18" i="14"/>
  <c r="J17" i="14"/>
  <c r="K17" i="14" s="1"/>
  <c r="G17" i="14"/>
  <c r="P7" i="14" l="1"/>
  <c r="P8" i="14"/>
  <c r="P5" i="14"/>
  <c r="P6" i="14"/>
  <c r="M58" i="14"/>
  <c r="N58" i="14" s="1"/>
  <c r="M46" i="14"/>
  <c r="N46" i="14" s="1"/>
  <c r="M66" i="14"/>
  <c r="N66" i="14" s="1"/>
  <c r="M72" i="14"/>
  <c r="N72" i="14" s="1"/>
  <c r="M56" i="14"/>
  <c r="N56" i="14" s="1"/>
  <c r="M68" i="14"/>
  <c r="N68" i="14" s="1"/>
  <c r="M69" i="14"/>
  <c r="N69" i="14" s="1"/>
  <c r="M74" i="14"/>
  <c r="N74" i="14" s="1"/>
  <c r="M73" i="14"/>
  <c r="N73" i="14" s="1"/>
  <c r="M38" i="14"/>
  <c r="N38" i="14" s="1"/>
  <c r="L49" i="14"/>
  <c r="M49" i="14" s="1"/>
  <c r="N49" i="14" s="1"/>
  <c r="K61" i="14"/>
  <c r="L63" i="14"/>
  <c r="M63" i="14" s="1"/>
  <c r="N63" i="14" s="1"/>
  <c r="L41" i="14"/>
  <c r="M41" i="14" s="1"/>
  <c r="N41" i="14" s="1"/>
  <c r="K57" i="14"/>
  <c r="L37" i="14"/>
  <c r="K53" i="14"/>
  <c r="L55" i="14"/>
  <c r="M55" i="14" s="1"/>
  <c r="N55" i="14" s="1"/>
  <c r="L59" i="14"/>
  <c r="M59" i="14" s="1"/>
  <c r="N59" i="14" s="1"/>
  <c r="L45" i="14"/>
  <c r="M45" i="14" s="1"/>
  <c r="N45" i="14" s="1"/>
  <c r="M28" i="14"/>
  <c r="N28" i="14" s="1"/>
  <c r="K39" i="14"/>
  <c r="K43" i="14"/>
  <c r="K51" i="14"/>
  <c r="K47" i="14"/>
  <c r="M39" i="14"/>
  <c r="N39" i="14" s="1"/>
  <c r="M51" i="14"/>
  <c r="N51" i="14" s="1"/>
  <c r="K52" i="14"/>
  <c r="M70" i="14"/>
  <c r="N70" i="14" s="1"/>
  <c r="M47" i="14"/>
  <c r="N47" i="14" s="1"/>
  <c r="L64" i="14"/>
  <c r="M64" i="14" s="1"/>
  <c r="N64" i="14" s="1"/>
  <c r="M43" i="14"/>
  <c r="N43" i="14" s="1"/>
  <c r="M65" i="14"/>
  <c r="N65" i="14" s="1"/>
  <c r="M71" i="14"/>
  <c r="N71" i="14" s="1"/>
  <c r="K73" i="14"/>
  <c r="K71" i="14"/>
  <c r="L67" i="14"/>
  <c r="M67" i="14" s="1"/>
  <c r="N67" i="14" s="1"/>
  <c r="K66" i="14"/>
  <c r="K68" i="14"/>
  <c r="K70" i="14"/>
  <c r="K72" i="14"/>
  <c r="K74" i="14"/>
  <c r="K69" i="14"/>
  <c r="M40" i="14"/>
  <c r="N40" i="14" s="1"/>
  <c r="M48" i="14"/>
  <c r="N48" i="14" s="1"/>
  <c r="M52" i="14"/>
  <c r="N52" i="14" s="1"/>
  <c r="M53" i="14"/>
  <c r="N53" i="14" s="1"/>
  <c r="M57" i="14"/>
  <c r="N57" i="14" s="1"/>
  <c r="M61" i="14"/>
  <c r="N61" i="14" s="1"/>
  <c r="K40" i="14"/>
  <c r="K48" i="14"/>
  <c r="K56" i="14"/>
  <c r="L36" i="14"/>
  <c r="M36" i="14" s="1"/>
  <c r="N36" i="14" s="1"/>
  <c r="L42" i="14"/>
  <c r="M42" i="14" s="1"/>
  <c r="N42" i="14" s="1"/>
  <c r="L50" i="14"/>
  <c r="M50" i="14" s="1"/>
  <c r="N50" i="14" s="1"/>
  <c r="K65" i="14"/>
  <c r="K46" i="14"/>
  <c r="K58" i="14"/>
  <c r="L44" i="14"/>
  <c r="M44" i="14" s="1"/>
  <c r="N44" i="14" s="1"/>
  <c r="L54" i="14"/>
  <c r="M54" i="14" s="1"/>
  <c r="N54" i="14" s="1"/>
  <c r="L62" i="14"/>
  <c r="M62" i="14" s="1"/>
  <c r="N62" i="14" s="1"/>
  <c r="L60" i="14"/>
  <c r="K38" i="14"/>
  <c r="M35" i="14"/>
  <c r="N35" i="14" s="1"/>
  <c r="M34" i="14"/>
  <c r="N34" i="14" s="1"/>
  <c r="M27" i="14"/>
  <c r="N27" i="14" s="1"/>
  <c r="M20" i="14"/>
  <c r="N20" i="14" s="1"/>
  <c r="M19" i="14"/>
  <c r="N19" i="14" s="1"/>
  <c r="M26" i="14"/>
  <c r="N26" i="14" s="1"/>
  <c r="M25" i="14"/>
  <c r="N25" i="14" s="1"/>
  <c r="M31" i="14"/>
  <c r="N31" i="14" s="1"/>
  <c r="L14" i="14"/>
  <c r="M14" i="14" s="1"/>
  <c r="N14" i="14" s="1"/>
  <c r="M33" i="14"/>
  <c r="N33" i="14" s="1"/>
  <c r="M29" i="14"/>
  <c r="N29" i="14" s="1"/>
  <c r="K27" i="14"/>
  <c r="K25" i="14"/>
  <c r="K33" i="14"/>
  <c r="L22" i="14"/>
  <c r="M22" i="14" s="1"/>
  <c r="N22" i="14" s="1"/>
  <c r="K28" i="14"/>
  <c r="K34" i="14"/>
  <c r="K35" i="14"/>
  <c r="L18" i="14"/>
  <c r="M18" i="14" s="1"/>
  <c r="N18" i="14" s="1"/>
  <c r="K19" i="14"/>
  <c r="K26" i="14"/>
  <c r="L17" i="14"/>
  <c r="L21" i="14"/>
  <c r="M21" i="14" s="1"/>
  <c r="N21" i="14" s="1"/>
  <c r="L24" i="14"/>
  <c r="M24" i="14" s="1"/>
  <c r="N24" i="14" s="1"/>
  <c r="L30" i="14"/>
  <c r="M30" i="14" s="1"/>
  <c r="N30" i="14" s="1"/>
  <c r="L32" i="14"/>
  <c r="Q4" i="14" s="1"/>
  <c r="K31" i="14"/>
  <c r="K20" i="14"/>
  <c r="K29" i="14"/>
  <c r="J15" i="14"/>
  <c r="L15" i="14" s="1"/>
  <c r="G15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P3" i="14" l="1"/>
  <c r="Q7" i="14"/>
  <c r="W2" i="14" s="1"/>
  <c r="Q5" i="14"/>
  <c r="U2" i="14" s="1"/>
  <c r="M60" i="14"/>
  <c r="N60" i="14" s="1"/>
  <c r="Q8" i="14"/>
  <c r="X2" i="14" s="1"/>
  <c r="M37" i="14"/>
  <c r="N37" i="14" s="1"/>
  <c r="Q6" i="14"/>
  <c r="V2" i="14" s="1"/>
  <c r="M32" i="14"/>
  <c r="N32" i="14" s="1"/>
  <c r="M17" i="14"/>
  <c r="N17" i="14" s="1"/>
  <c r="M7" i="14"/>
  <c r="N7" i="14" s="1"/>
  <c r="M3" i="14"/>
  <c r="N3" i="14" s="1"/>
  <c r="M15" i="14"/>
  <c r="N15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5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<sst xmlns="http://schemas.openxmlformats.org/spreadsheetml/2006/main" count="321" uniqueCount="100">
  <si>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</si>
  <si>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</si>
  <si>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</si>
  <si>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</si>
  <si>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</si>
  <si>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</si>
  <si>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</si>
  <si>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</si>
  <si>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</si>
  <si>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</si>
  <si>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</si>
  <si>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</si>
  <si>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</si>
  <si>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</si>
  <si>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</si>
  <si>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</si>
  <si>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</si>
  <si>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</si>
  <si>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</si>
  <si>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</si>
  <si>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</si>
  <si>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</si>
  <si>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</si>
  <si>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</si>
  <si>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</si>
  <si>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</si>
  <si>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</si>
  <si>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</si>
  <si>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</si>
  <si>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</si>
  <si>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</si>
  <si>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</si>
  <si>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</si>
  <si>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</si>
  <si>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</si>
  <si>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</si>
  <si>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</si>
  <si>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</si>
  <si>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</si>
  <si>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</si>
  <si>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</si>
  <si>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</si>
  <si>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</si>
  <si>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</si>
  <si>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</si>
  <si>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</si>
  <si>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</si>
  <si>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</si>
  <si>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</si>
  <si>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</si>
  <si>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</si>
  <si>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</si>
  <si>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</si>
  <si>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</si>
  <si>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</si>
  <si>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</si>
  <si>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</si>
  <si>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</si>
  <si>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</si>
  <si>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</si>
  <si>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</si>
  <si>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</si>
  <si>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</si>
  <si>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</si>
  <si>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</si>
  <si>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</si>
  <si>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</si>
  <si>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</si>
  <si>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</si>
  <si>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</si>
  <si>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</si>
  <si>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</si>
  <si>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</si>
  <si>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</si>
  <si>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</si>
  <si>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</si>
  <si>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</si>
  <si>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0252</t>
  </si>
  <si>
    <t>W11-W12 Vitel S25 Ultra Flash Promo ST Promo</t>
  </si>
  <si>
    <t>A0S3A0A260000000</t>
  </si>
  <si>
    <t>A0S3A0A260000363</t>
  </si>
  <si>
    <t>VITEL W13-W15 AR Special Market Sell-Thru Promotion</t>
  </si>
  <si>
    <t>SM-X620NZAAL15</t>
  </si>
  <si>
    <t>A0S3A0A260000325</t>
  </si>
  <si>
    <t>VITEL W13-W15 CDE Special Market Sell-Thru Promotion</t>
  </si>
  <si>
    <t>A0S3A0A260000354</t>
  </si>
  <si>
    <t>VITEL W13-W15 ECO ST Promo</t>
  </si>
  <si>
    <t>A0S3A0A260000359</t>
  </si>
  <si>
    <t>VITEL W13-W15 VE Special Market Sell-Thru Promotion</t>
  </si>
  <si>
    <t>A0S3A0A260000368</t>
  </si>
  <si>
    <t>W13-W15 VITEL S26 Ultra Launching Sell-Thru Promotion</t>
  </si>
  <si>
    <t>A0S3A0A260000378</t>
  </si>
  <si>
    <t>VITEL W13-W15 OM S26+/S26 Launching Sell-Thru Promotion</t>
  </si>
  <si>
    <t>0363</t>
  </si>
  <si>
    <t>0325</t>
  </si>
  <si>
    <t>0354</t>
  </si>
  <si>
    <t>0359</t>
  </si>
  <si>
    <t>0368</t>
  </si>
  <si>
    <t>0378</t>
  </si>
  <si>
    <t>SM-X520NZAAL15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</si>
</sst>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8" fontId="0" fillId="7" borderId="1" xfId="0" applyNumberFormat="1" applyFill="1" applyBorder="1"/>
    <xf numFmtId="3" fontId="0" fillId="7" borderId="1" xfId="0" applyNumberFormat="1" applyFill="1" applyBorder="1"/>
    <xf numFmtId="1" fontId="0" fillId="7" borderId="1" xfId="0" applyNumberFormat="1" applyFill="1" applyBorder="1"/>
    <xf numFmtId="1" fontId="2" fillId="7" borderId="1" xfId="0" applyNumberFormat="1" applyFont="1" applyFill="1" applyBorder="1"/>
    <xf numFmtId="44" fontId="0" fillId="7" borderId="1" xfId="1" applyFont="1" applyFill="1" applyBorder="1"/>
    <xf numFmtId="0" fontId="1" fillId="7" borderId="1" xfId="0" applyFont="1" applyFill="1" applyBorder="1"/>
    <xf numFmtId="0" fontId="2" fillId="7" borderId="1" xfId="0" quotePrefix="1" applyFont="1" applyFill="1" applyBorder="1"/>
    <xf numFmtId="8" fontId="0" fillId="7" borderId="0" xfId="0" applyNumberForma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6"/>
  <sheetViews>
    <sheetView showGridLines="0" tabSelected="1" topLeftCell="B1" zoomScale="115" zoomScaleNormal="115" workbookViewId="0">
      <pane ySplit="1" topLeftCell="A2" activePane="bottomLeft" state="frozen"/>
      <selection pane="bottomLeft" activeCell="H9" sqref="H9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28" t="s">
        <v>77</v>
      </c>
      <c r="S1" s="15" t="s">
        <v>93</v>
      </c>
      <c r="T1" s="15" t="s">
        <v>94</v>
      </c>
      <c r="U1" s="15" t="s">
        <v>95</v>
      </c>
      <c r="V1" s="15" t="s">
        <v>96</v>
      </c>
      <c r="W1" s="15" t="s">
        <v>97</v>
      </c>
      <c r="X1" s="15" t="s">
        <v>98</v>
      </c>
    </row>
    <row r="2" spans="1:24" ht="18" customHeight="1" x14ac:dyDescent="0.2">
      <c r="A2" s="20" t="s">
        <v>79</v>
      </c>
      <c r="B2" s="21" t="s">
        <v>78</v>
      </c>
      <c r="C2" s="21" t="s">
        <v>22</v>
      </c>
      <c r="D2" s="21" t="s">
        <v>22</v>
      </c>
      <c r="E2" s="22">
        <v>76</v>
      </c>
      <c r="F2" s="23">
        <v>1870</v>
      </c>
      <c r="G2" s="22">
        <f t="shared" ref="G2" si="0">E2*F2</f>
        <v>142120</v>
      </c>
      <c r="H2" s="24"/>
      <c r="I2" s="24"/>
      <c r="J2" s="25">
        <f>H2+I2</f>
        <v>0</v>
      </c>
      <c r="K2" s="24">
        <f>F2-J2</f>
        <v>1870</v>
      </c>
      <c r="L2" s="26">
        <f t="shared" ref="L2" si="1">J2*E2</f>
        <v>0</v>
      </c>
      <c r="M2" s="26">
        <f t="shared" ref="M2" si="2">G2-L2</f>
        <v>142120</v>
      </c>
      <c r="N2" s="27" t="str">
        <f t="shared" ref="N2" si="3">IF(M2&gt;0,"KEEP SELLING", "DO NOT SELL")</f>
        <v>KEEP SELLING</v>
      </c>
      <c r="P2" s="10">
        <f>SUM(G2:G2)</f>
        <v>142120</v>
      </c>
      <c r="Q2" s="9">
        <f>SUM(L2)</f>
        <v>0</v>
      </c>
      <c r="R2" s="29">
        <f>P2-Q2</f>
        <v>142120</v>
      </c>
      <c r="S2" s="11">
        <f>P3-Q3</f>
        <v>-10768</v>
      </c>
      <c r="T2" s="11">
        <f>P4-Q4</f>
        <v>4790</v>
      </c>
      <c r="U2" s="19">
        <f>P5-Q5</f>
        <v>-55783</v>
      </c>
      <c r="V2" s="11">
        <f>P6-Q6</f>
        <v>20346</v>
      </c>
      <c r="W2" s="11">
        <f>P7-Q7</f>
        <v>35330</v>
      </c>
      <c r="X2" s="11">
        <f>P8-Q8</f>
        <v>4140</v>
      </c>
    </row>
    <row r="3" spans="1:24" ht="18" customHeight="1" x14ac:dyDescent="0.2">
      <c r="A3" s="18" t="s">
        <v>80</v>
      </c>
      <c r="B3" s="18" t="s">
        <v>81</v>
      </c>
      <c r="C3" s="16" t="s">
        <v>13</v>
      </c>
      <c r="D3" s="16" t="s">
        <v>13</v>
      </c>
      <c r="E3" s="2">
        <v>5</v>
      </c>
      <c r="F3" s="13">
        <v>407</v>
      </c>
      <c r="G3" s="2">
        <f t="shared" ref="G3:G16" si="4">E3*F3</f>
        <v>2035</v>
      </c>
      <c r="H3" s="3">
        <v>100</v>
      </c>
      <c r="I3" s="3"/>
      <c r="J3" s="14">
        <f t="shared" ref="J3:J15" si="5">H3+I3</f>
        <v>100</v>
      </c>
      <c r="K3" s="3">
        <f t="shared" ref="K3:K15" si="6">F3-J3</f>
        <v>307</v>
      </c>
      <c r="L3" s="4">
        <f t="shared" ref="L3:L16" si="7">J3*E3</f>
        <v>500</v>
      </c>
      <c r="M3" s="4">
        <f t="shared" ref="M3:M16" si="8">G3-L3</f>
        <v>1535</v>
      </c>
      <c r="N3" s="12" t="str">
        <f t="shared" ref="N3:N16" si="9">IF(M3&gt;0,"KEEP SELLING", "DO NOT SELL")</f>
        <v>KEEP SELLING</v>
      </c>
      <c r="P3" s="10">
        <f>SUM(G3:G30)</f>
        <v>11602</v>
      </c>
      <c r="Q3" s="9">
        <f>SUM(L3:L30)</f>
        <v>22370</v>
      </c>
    </row>
    <row r="4" spans="1:24" ht="18" customHeight="1" x14ac:dyDescent="0.2">
      <c r="A4" s="18" t="s">
        <v>80</v>
      </c>
      <c r="B4" s="18" t="s">
        <v>81</v>
      </c>
      <c r="C4" s="16" t="s">
        <v>14</v>
      </c>
      <c r="D4" s="16" t="s">
        <v>14</v>
      </c>
      <c r="E4" s="2">
        <v>5</v>
      </c>
      <c r="F4" s="13">
        <v>64</v>
      </c>
      <c r="G4" s="2">
        <f t="shared" si="4"/>
        <v>320</v>
      </c>
      <c r="H4" s="3">
        <v>550</v>
      </c>
      <c r="I4" s="3"/>
      <c r="J4" s="14">
        <f t="shared" si="5"/>
        <v>550</v>
      </c>
      <c r="K4" s="3">
        <f t="shared" si="6"/>
        <v>-486</v>
      </c>
      <c r="L4" s="4">
        <f t="shared" si="7"/>
        <v>2750</v>
      </c>
      <c r="M4" s="4">
        <f t="shared" si="8"/>
        <v>-2430</v>
      </c>
      <c r="N4" s="12" t="str">
        <f t="shared" si="9"/>
        <v>DO NOT SELL</v>
      </c>
      <c r="P4" s="10">
        <f>SUM(G31:G33)</f>
        <v>4790</v>
      </c>
      <c r="Q4" s="9">
        <f>SUM(L31:L33)</f>
        <v>0</v>
      </c>
    </row>
    <row r="5" spans="1:24" ht="18" customHeight="1" x14ac:dyDescent="0.2">
      <c r="A5" s="18" t="s">
        <v>80</v>
      </c>
      <c r="B5" s="18" t="s">
        <v>81</v>
      </c>
      <c r="C5" s="16" t="s">
        <v>15</v>
      </c>
      <c r="D5" s="16" t="s">
        <v>15</v>
      </c>
      <c r="E5" s="2">
        <v>2</v>
      </c>
      <c r="F5" s="13">
        <v>177</v>
      </c>
      <c r="G5" s="2">
        <f t="shared" si="4"/>
        <v>354</v>
      </c>
      <c r="H5" s="3">
        <v>1000</v>
      </c>
      <c r="I5" s="3"/>
      <c r="J5" s="14">
        <f t="shared" si="5"/>
        <v>1000</v>
      </c>
      <c r="K5" s="3">
        <f t="shared" si="6"/>
        <v>-823</v>
      </c>
      <c r="L5" s="4">
        <f t="shared" si="7"/>
        <v>2000</v>
      </c>
      <c r="M5" s="4">
        <f t="shared" si="8"/>
        <v>-1646</v>
      </c>
      <c r="N5" s="12" t="str">
        <f t="shared" si="9"/>
        <v>DO NOT SELL</v>
      </c>
      <c r="P5" s="10">
        <f>SUM(G34:G36)</f>
        <v>6271</v>
      </c>
      <c r="Q5" s="9">
        <f>SUM(L34:L36)</f>
        <v>62054</v>
      </c>
    </row>
    <row r="6" spans="1:24" ht="18" customHeight="1" x14ac:dyDescent="0.2">
      <c r="A6" s="18" t="s">
        <v>80</v>
      </c>
      <c r="B6" s="18" t="s">
        <v>81</v>
      </c>
      <c r="C6" s="16" t="s">
        <v>16</v>
      </c>
      <c r="D6" s="16" t="s">
        <v>16</v>
      </c>
      <c r="E6" s="2">
        <v>5</v>
      </c>
      <c r="F6" s="13">
        <v>105</v>
      </c>
      <c r="G6" s="2">
        <f t="shared" si="4"/>
        <v>525</v>
      </c>
      <c r="H6" s="3"/>
      <c r="I6" s="3"/>
      <c r="J6" s="14">
        <f t="shared" si="5"/>
        <v>0</v>
      </c>
      <c r="K6" s="3">
        <f t="shared" si="6"/>
        <v>105</v>
      </c>
      <c r="L6" s="4">
        <f t="shared" si="7"/>
        <v>0</v>
      </c>
      <c r="M6" s="4">
        <f t="shared" si="8"/>
        <v>525</v>
      </c>
      <c r="N6" s="12" t="str">
        <f t="shared" si="9"/>
        <v>KEEP SELLING</v>
      </c>
      <c r="P6" s="10">
        <f>SUM(G37:G47)</f>
        <v>20346</v>
      </c>
      <c r="Q6" s="9">
        <f>SUM(L37:L47)</f>
        <v>0</v>
      </c>
    </row>
    <row r="7" spans="1:24" ht="18" customHeight="1" x14ac:dyDescent="0.2">
      <c r="A7" s="18" t="s">
        <v>80</v>
      </c>
      <c r="B7" s="18" t="s">
        <v>81</v>
      </c>
      <c r="C7" s="16" t="s">
        <v>27</v>
      </c>
      <c r="D7" s="16" t="s">
        <v>27</v>
      </c>
      <c r="E7" s="2">
        <v>4</v>
      </c>
      <c r="F7" s="13">
        <v>2</v>
      </c>
      <c r="G7" s="2">
        <f t="shared" si="4"/>
        <v>8</v>
      </c>
      <c r="H7" s="3"/>
      <c r="I7" s="3"/>
      <c r="J7" s="14">
        <f t="shared" si="5"/>
        <v>0</v>
      </c>
      <c r="K7" s="3">
        <f t="shared" si="6"/>
        <v>2</v>
      </c>
      <c r="L7" s="4">
        <f t="shared" si="7"/>
        <v>0</v>
      </c>
      <c r="M7" s="4">
        <f t="shared" si="8"/>
        <v>8</v>
      </c>
      <c r="N7" s="12" t="str">
        <f t="shared" si="9"/>
        <v>KEEP SELLING</v>
      </c>
      <c r="P7" s="10">
        <f>SUM(G48:G559)</f>
        <v>35330</v>
      </c>
      <c r="Q7" s="9">
        <f>SUM(L46:L59)</f>
        <v>0</v>
      </c>
    </row>
    <row r="8" spans="1:24" ht="18" customHeight="1" x14ac:dyDescent="0.2">
      <c r="A8" s="18" t="s">
        <v>80</v>
      </c>
      <c r="B8" s="18" t="s">
        <v>81</v>
      </c>
      <c r="C8" s="16" t="s">
        <v>26</v>
      </c>
      <c r="D8" s="16" t="s">
        <v>26</v>
      </c>
      <c r="E8" s="2">
        <v>30</v>
      </c>
      <c r="F8" s="13">
        <v>34</v>
      </c>
      <c r="G8" s="2">
        <f t="shared" si="4"/>
        <v>1020</v>
      </c>
      <c r="H8" s="3">
        <v>112</v>
      </c>
      <c r="I8" s="3"/>
      <c r="J8" s="14">
        <f t="shared" si="5"/>
        <v>112</v>
      </c>
      <c r="K8" s="3">
        <f t="shared" si="6"/>
        <v>-78</v>
      </c>
      <c r="L8" s="4">
        <f t="shared" si="7"/>
        <v>3360</v>
      </c>
      <c r="M8" s="4">
        <f t="shared" si="8"/>
        <v>-2340</v>
      </c>
      <c r="N8" s="12" t="str">
        <f t="shared" si="9"/>
        <v>DO NOT SELL</v>
      </c>
      <c r="P8" s="10">
        <f>SUM(G60:G76)</f>
        <v>4140</v>
      </c>
      <c r="Q8" s="9">
        <f>SUM(L60:L76)</f>
        <v>0</v>
      </c>
    </row>
    <row r="9" spans="1:24" ht="18" customHeight="1" x14ac:dyDescent="0.2">
      <c r="A9" s="18" t="s">
        <v>80</v>
      </c>
      <c r="B9" s="18" t="s">
        <v>81</v>
      </c>
      <c r="C9" s="16" t="s">
        <v>22</v>
      </c>
      <c r="D9" s="16" t="s">
        <v>22</v>
      </c>
      <c r="E9" s="2">
        <v>80</v>
      </c>
      <c r="F9" s="13">
        <v>81</v>
      </c>
      <c r="G9" s="2">
        <f t="shared" si="4"/>
        <v>6480</v>
      </c>
      <c r="H9" s="3">
        <v>172</v>
      </c>
      <c r="I9" s="3"/>
      <c r="J9" s="14">
        <f t="shared" si="5"/>
        <v>172</v>
      </c>
      <c r="K9" s="3">
        <f t="shared" si="6"/>
        <v>-91</v>
      </c>
      <c r="L9" s="4">
        <f t="shared" si="7"/>
        <v>13760</v>
      </c>
      <c r="M9" s="4">
        <f t="shared" si="8"/>
        <v>-7280</v>
      </c>
      <c r="N9" s="12" t="str">
        <f t="shared" si="9"/>
        <v>DO NOT SELL</v>
      </c>
    </row>
    <row r="10" spans="1:24" ht="18" customHeight="1" x14ac:dyDescent="0.2">
      <c r="A10" s="18" t="s">
        <v>80</v>
      </c>
      <c r="B10" s="18" t="s">
        <v>81</v>
      </c>
      <c r="C10" s="16" t="s">
        <v>28</v>
      </c>
      <c r="D10" s="16" t="s">
        <v>28</v>
      </c>
      <c r="E10" s="2">
        <v>10</v>
      </c>
      <c r="F10" s="13">
        <v>12</v>
      </c>
      <c r="G10" s="2">
        <f t="shared" si="4"/>
        <v>120</v>
      </c>
      <c r="H10" s="3"/>
      <c r="I10" s="3"/>
      <c r="J10" s="14">
        <f t="shared" si="5"/>
        <v>0</v>
      </c>
      <c r="K10" s="3">
        <f t="shared" si="6"/>
        <v>12</v>
      </c>
      <c r="L10" s="4">
        <f t="shared" si="7"/>
        <v>0</v>
      </c>
      <c r="M10" s="4">
        <f t="shared" si="8"/>
        <v>120</v>
      </c>
      <c r="N10" s="12" t="str">
        <f t="shared" si="9"/>
        <v>KEEP SELLING</v>
      </c>
    </row>
    <row r="11" spans="1:24" ht="18" customHeight="1" x14ac:dyDescent="0.2">
      <c r="A11" s="18" t="s">
        <v>80</v>
      </c>
      <c r="B11" s="18" t="s">
        <v>81</v>
      </c>
      <c r="C11" s="16" t="s">
        <v>29</v>
      </c>
      <c r="D11" s="16" t="s">
        <v>29</v>
      </c>
      <c r="E11" s="2">
        <v>10</v>
      </c>
      <c r="F11" s="13">
        <v>2</v>
      </c>
      <c r="G11" s="2">
        <f t="shared" si="4"/>
        <v>20</v>
      </c>
      <c r="H11" s="3"/>
      <c r="I11" s="3"/>
      <c r="J11" s="14">
        <f t="shared" si="5"/>
        <v>0</v>
      </c>
      <c r="K11" s="3">
        <f t="shared" si="6"/>
        <v>2</v>
      </c>
      <c r="L11" s="4">
        <f t="shared" si="7"/>
        <v>0</v>
      </c>
      <c r="M11" s="4">
        <f t="shared" si="8"/>
        <v>20</v>
      </c>
      <c r="N11" s="12" t="str">
        <f t="shared" si="9"/>
        <v>KEEP SELLING</v>
      </c>
    </row>
    <row r="12" spans="1:24" ht="18" customHeight="1" x14ac:dyDescent="0.2">
      <c r="A12" s="18" t="s">
        <v>80</v>
      </c>
      <c r="B12" s="18" t="s">
        <v>81</v>
      </c>
      <c r="C12" s="16" t="s">
        <v>30</v>
      </c>
      <c r="D12" s="16" t="s">
        <v>30</v>
      </c>
      <c r="E12" s="2">
        <v>10</v>
      </c>
      <c r="F12" s="13">
        <v>2</v>
      </c>
      <c r="G12" s="2">
        <f t="shared" si="4"/>
        <v>20</v>
      </c>
      <c r="H12" s="3"/>
      <c r="I12" s="3"/>
      <c r="J12" s="14">
        <f t="shared" si="5"/>
        <v>0</v>
      </c>
      <c r="K12" s="3">
        <f t="shared" si="6"/>
        <v>2</v>
      </c>
      <c r="L12" s="4">
        <f t="shared" si="7"/>
        <v>0</v>
      </c>
      <c r="M12" s="4">
        <f t="shared" si="8"/>
        <v>20</v>
      </c>
      <c r="N12" s="12" t="str">
        <f t="shared" si="9"/>
        <v>KEEP SELLING</v>
      </c>
    </row>
    <row r="13" spans="1:24" ht="18" customHeight="1" x14ac:dyDescent="0.2">
      <c r="A13" s="18" t="s">
        <v>80</v>
      </c>
      <c r="B13" s="18" t="s">
        <v>81</v>
      </c>
      <c r="C13" s="16" t="s">
        <v>31</v>
      </c>
      <c r="D13" s="18" t="s">
        <v>99</v>
      </c>
      <c r="E13" s="2">
        <v>10</v>
      </c>
      <c r="F13" s="13">
        <v>31</v>
      </c>
      <c r="G13" s="2">
        <f t="shared" si="4"/>
        <v>310</v>
      </c>
      <c r="H13" s="3"/>
      <c r="I13" s="3"/>
      <c r="J13" s="14">
        <f t="shared" si="5"/>
        <v>0</v>
      </c>
      <c r="K13" s="3">
        <f t="shared" si="6"/>
        <v>31</v>
      </c>
      <c r="L13" s="4">
        <f t="shared" si="7"/>
        <v>0</v>
      </c>
      <c r="M13" s="4">
        <f t="shared" si="8"/>
        <v>310</v>
      </c>
      <c r="N13" s="12" t="str">
        <f t="shared" si="9"/>
        <v>KEEP SELLING</v>
      </c>
    </row>
    <row r="14" spans="1:24" ht="18" customHeight="1" x14ac:dyDescent="0.2">
      <c r="A14" s="18" t="s">
        <v>80</v>
      </c>
      <c r="B14" s="18" t="s">
        <v>81</v>
      </c>
      <c r="C14" s="16" t="s">
        <v>31</v>
      </c>
      <c r="D14" s="16" t="s">
        <v>31</v>
      </c>
      <c r="E14" s="2">
        <v>10</v>
      </c>
      <c r="F14" s="13">
        <v>3</v>
      </c>
      <c r="G14" s="2">
        <f t="shared" ref="G14" si="10">E14*F14</f>
        <v>30</v>
      </c>
      <c r="H14" s="3"/>
      <c r="I14" s="3"/>
      <c r="J14" s="14">
        <f t="shared" ref="J14" si="11">H14+I14</f>
        <v>0</v>
      </c>
      <c r="K14" s="3">
        <f t="shared" ref="K14" si="12">F14-J14</f>
        <v>3</v>
      </c>
      <c r="L14" s="4">
        <f t="shared" ref="L14" si="13">J14*E14</f>
        <v>0</v>
      </c>
      <c r="M14" s="4">
        <f t="shared" ref="M14" si="14">G14-L14</f>
        <v>30</v>
      </c>
      <c r="N14" s="12" t="str">
        <f t="shared" ref="N14" si="15">IF(M14&gt;0,"KEEP SELLING", "DO NOT SELL")</f>
        <v>KEEP SELLING</v>
      </c>
    </row>
    <row r="15" spans="1:24" ht="18" customHeight="1" x14ac:dyDescent="0.2">
      <c r="A15" s="18" t="s">
        <v>80</v>
      </c>
      <c r="B15" s="18" t="s">
        <v>81</v>
      </c>
      <c r="C15" s="16" t="s">
        <v>32</v>
      </c>
      <c r="D15" s="16" t="s">
        <v>32</v>
      </c>
      <c r="E15" s="2">
        <v>10</v>
      </c>
      <c r="F15" s="13">
        <v>2</v>
      </c>
      <c r="G15" s="2">
        <f t="shared" si="4"/>
        <v>20</v>
      </c>
      <c r="H15" s="3"/>
      <c r="I15" s="3"/>
      <c r="J15" s="14">
        <f t="shared" si="5"/>
        <v>0</v>
      </c>
      <c r="K15" s="3">
        <f t="shared" si="6"/>
        <v>2</v>
      </c>
      <c r="L15" s="4">
        <f t="shared" si="7"/>
        <v>0</v>
      </c>
      <c r="M15" s="4">
        <f t="shared" si="8"/>
        <v>20</v>
      </c>
      <c r="N15" s="12" t="str">
        <f t="shared" si="9"/>
        <v>KEEP SELLING</v>
      </c>
    </row>
    <row r="16" spans="1:24" ht="18" customHeight="1" x14ac:dyDescent="0.2">
      <c r="A16" s="18" t="s">
        <v>80</v>
      </c>
      <c r="B16" s="18" t="s">
        <v>81</v>
      </c>
      <c r="C16" s="16" t="s">
        <v>33</v>
      </c>
      <c r="D16" s="16" t="s">
        <v>33</v>
      </c>
      <c r="E16" s="2">
        <v>10</v>
      </c>
      <c r="F16" s="13">
        <v>2</v>
      </c>
      <c r="G16" s="2">
        <f t="shared" si="4"/>
        <v>20</v>
      </c>
      <c r="H16" s="3"/>
      <c r="I16" s="3"/>
      <c r="J16" s="14">
        <f>H16+I16</f>
        <v>0</v>
      </c>
      <c r="K16" s="3">
        <f>F16-J16</f>
        <v>2</v>
      </c>
      <c r="L16" s="4">
        <f t="shared" si="7"/>
        <v>0</v>
      </c>
      <c r="M16" s="4">
        <f t="shared" si="8"/>
        <v>20</v>
      </c>
      <c r="N16" s="12" t="str">
        <f t="shared" si="9"/>
        <v>KEEP SELLING</v>
      </c>
    </row>
    <row r="17" spans="1:14" ht="18" customHeight="1" x14ac:dyDescent="0.2">
      <c r="A17" s="18" t="s">
        <v>80</v>
      </c>
      <c r="B17" s="18" t="s">
        <v>81</v>
      </c>
      <c r="C17" s="16" t="s">
        <v>34</v>
      </c>
      <c r="D17" s="16" t="s">
        <v>34</v>
      </c>
      <c r="E17" s="2">
        <v>10</v>
      </c>
      <c r="F17" s="13">
        <v>2</v>
      </c>
      <c r="G17" s="2">
        <f t="shared" ref="G17:G35" si="16">E17*F17</f>
        <v>20</v>
      </c>
      <c r="H17" s="3"/>
      <c r="I17" s="3"/>
      <c r="J17" s="14">
        <f t="shared" ref="J17:J34" si="17">H17+I17</f>
        <v>0</v>
      </c>
      <c r="K17" s="3">
        <f t="shared" ref="K17:K35" si="18">F17-J17</f>
        <v>2</v>
      </c>
      <c r="L17" s="4">
        <f t="shared" ref="L17:L35" si="19">J17*E17</f>
        <v>0</v>
      </c>
      <c r="M17" s="4">
        <f t="shared" ref="M17:M35" si="20">G17-L17</f>
        <v>20</v>
      </c>
      <c r="N17" s="12" t="str">
        <f t="shared" ref="N17:N35" si="21">IF(M17&gt;0,"KEEP SELLING", "DO NOT SELL")</f>
        <v>KEEP SELLING</v>
      </c>
    </row>
    <row r="18" spans="1:14" ht="18" customHeight="1" x14ac:dyDescent="0.2">
      <c r="A18" s="18" t="s">
        <v>80</v>
      </c>
      <c r="B18" s="18" t="s">
        <v>81</v>
      </c>
      <c r="C18" s="16" t="s">
        <v>35</v>
      </c>
      <c r="D18" s="16" t="s">
        <v>35</v>
      </c>
      <c r="E18" s="2">
        <v>10</v>
      </c>
      <c r="F18" s="13">
        <v>2</v>
      </c>
      <c r="G18" s="2">
        <f t="shared" si="16"/>
        <v>20</v>
      </c>
      <c r="H18" s="3"/>
      <c r="I18" s="17"/>
      <c r="J18" s="14">
        <f t="shared" si="17"/>
        <v>0</v>
      </c>
      <c r="K18" s="3">
        <f t="shared" si="18"/>
        <v>2</v>
      </c>
      <c r="L18" s="4">
        <f t="shared" si="19"/>
        <v>0</v>
      </c>
      <c r="M18" s="4">
        <f t="shared" si="20"/>
        <v>20</v>
      </c>
      <c r="N18" s="12" t="str">
        <f t="shared" si="21"/>
        <v>KEEP SELLING</v>
      </c>
    </row>
    <row r="19" spans="1:14" ht="18" customHeight="1" x14ac:dyDescent="0.2">
      <c r="A19" s="18" t="s">
        <v>80</v>
      </c>
      <c r="B19" s="18" t="s">
        <v>81</v>
      </c>
      <c r="C19" s="16" t="s">
        <v>36</v>
      </c>
      <c r="D19" s="16" t="s">
        <v>36</v>
      </c>
      <c r="E19" s="2">
        <v>10</v>
      </c>
      <c r="F19" s="13">
        <v>2</v>
      </c>
      <c r="G19" s="2">
        <f t="shared" si="16"/>
        <v>20</v>
      </c>
      <c r="H19" s="3"/>
      <c r="I19" s="3"/>
      <c r="J19" s="14">
        <f t="shared" si="17"/>
        <v>0</v>
      </c>
      <c r="K19" s="3">
        <f t="shared" si="18"/>
        <v>2</v>
      </c>
      <c r="L19" s="4">
        <f t="shared" si="19"/>
        <v>0</v>
      </c>
      <c r="M19" s="4">
        <f t="shared" si="20"/>
        <v>20</v>
      </c>
      <c r="N19" s="12" t="str">
        <f t="shared" si="21"/>
        <v>KEEP SELLING</v>
      </c>
    </row>
    <row r="20" spans="1:14" ht="18" customHeight="1" x14ac:dyDescent="0.2">
      <c r="A20" s="18" t="s">
        <v>80</v>
      </c>
      <c r="B20" s="18" t="s">
        <v>81</v>
      </c>
      <c r="C20" s="16" t="s">
        <v>37</v>
      </c>
      <c r="D20" s="16" t="s">
        <v>37</v>
      </c>
      <c r="E20" s="2">
        <v>10</v>
      </c>
      <c r="F20" s="13">
        <v>2</v>
      </c>
      <c r="G20" s="2">
        <f t="shared" si="16"/>
        <v>20</v>
      </c>
      <c r="H20" s="3"/>
      <c r="I20" s="3"/>
      <c r="J20" s="14">
        <f t="shared" si="17"/>
        <v>0</v>
      </c>
      <c r="K20" s="3">
        <f t="shared" si="18"/>
        <v>2</v>
      </c>
      <c r="L20" s="4">
        <f t="shared" si="19"/>
        <v>0</v>
      </c>
      <c r="M20" s="4">
        <f t="shared" si="20"/>
        <v>20</v>
      </c>
      <c r="N20" s="12" t="str">
        <f t="shared" si="21"/>
        <v>KEEP SELLING</v>
      </c>
    </row>
    <row r="21" spans="1:14" ht="18" customHeight="1" x14ac:dyDescent="0.2">
      <c r="A21" s="18" t="s">
        <v>80</v>
      </c>
      <c r="B21" s="18" t="s">
        <v>81</v>
      </c>
      <c r="C21" s="16" t="s">
        <v>38</v>
      </c>
      <c r="D21" s="16" t="s">
        <v>38</v>
      </c>
      <c r="E21" s="2">
        <v>10</v>
      </c>
      <c r="F21" s="13">
        <v>2</v>
      </c>
      <c r="G21" s="2">
        <f t="shared" si="16"/>
        <v>20</v>
      </c>
      <c r="H21" s="3"/>
      <c r="I21" s="3"/>
      <c r="J21" s="14">
        <f t="shared" si="17"/>
        <v>0</v>
      </c>
      <c r="K21" s="3">
        <f t="shared" si="18"/>
        <v>2</v>
      </c>
      <c r="L21" s="4">
        <f t="shared" si="19"/>
        <v>0</v>
      </c>
      <c r="M21" s="4">
        <f t="shared" si="20"/>
        <v>20</v>
      </c>
      <c r="N21" s="12" t="str">
        <f t="shared" si="21"/>
        <v>KEEP SELLING</v>
      </c>
    </row>
    <row r="22" spans="1:14" ht="18" customHeight="1" x14ac:dyDescent="0.2">
      <c r="A22" s="18" t="s">
        <v>80</v>
      </c>
      <c r="B22" s="18" t="s">
        <v>81</v>
      </c>
      <c r="C22" s="16" t="s">
        <v>39</v>
      </c>
      <c r="D22" s="16" t="s">
        <v>39</v>
      </c>
      <c r="E22" s="2">
        <v>10</v>
      </c>
      <c r="F22" s="13">
        <v>2</v>
      </c>
      <c r="G22" s="2">
        <f t="shared" si="16"/>
        <v>20</v>
      </c>
      <c r="H22" s="3"/>
      <c r="I22" s="3"/>
      <c r="J22" s="14">
        <f t="shared" si="17"/>
        <v>0</v>
      </c>
      <c r="K22" s="3">
        <f t="shared" si="18"/>
        <v>2</v>
      </c>
      <c r="L22" s="4">
        <f t="shared" si="19"/>
        <v>0</v>
      </c>
      <c r="M22" s="4">
        <f t="shared" si="20"/>
        <v>20</v>
      </c>
      <c r="N22" s="12" t="str">
        <f t="shared" si="21"/>
        <v>KEEP SELLING</v>
      </c>
    </row>
    <row r="23" spans="1:14" ht="18" customHeight="1" x14ac:dyDescent="0.2">
      <c r="A23" s="18" t="s">
        <v>80</v>
      </c>
      <c r="B23" s="18" t="s">
        <v>81</v>
      </c>
      <c r="C23" s="16" t="s">
        <v>40</v>
      </c>
      <c r="D23" s="18" t="s">
        <v>82</v>
      </c>
      <c r="E23" s="2">
        <v>10</v>
      </c>
      <c r="F23" s="13">
        <v>6</v>
      </c>
      <c r="G23" s="2">
        <f t="shared" ref="G23" si="22">E23*F23</f>
        <v>60</v>
      </c>
      <c r="H23" s="3"/>
      <c r="I23" s="3"/>
      <c r="J23" s="14">
        <f t="shared" ref="J23" si="23">H23+I23</f>
        <v>0</v>
      </c>
      <c r="K23" s="3">
        <f t="shared" ref="K23" si="24">F23-J23</f>
        <v>6</v>
      </c>
      <c r="L23" s="4">
        <f t="shared" ref="L23" si="25">J23*E23</f>
        <v>0</v>
      </c>
      <c r="M23" s="4">
        <f t="shared" ref="M23" si="26">G23-L23</f>
        <v>60</v>
      </c>
      <c r="N23" s="12" t="str">
        <f t="shared" ref="N23" si="27">IF(M23&gt;0,"KEEP SELLING", "DO NOT SELL")</f>
        <v>KEEP SELLING</v>
      </c>
    </row>
    <row r="24" spans="1:14" ht="18" customHeight="1" x14ac:dyDescent="0.2">
      <c r="A24" s="18" t="s">
        <v>80</v>
      </c>
      <c r="B24" s="18" t="s">
        <v>81</v>
      </c>
      <c r="C24" s="16" t="s">
        <v>40</v>
      </c>
      <c r="D24" s="16" t="s">
        <v>40</v>
      </c>
      <c r="E24" s="2">
        <v>10</v>
      </c>
      <c r="F24" s="13">
        <v>2</v>
      </c>
      <c r="G24" s="2">
        <f t="shared" si="16"/>
        <v>20</v>
      </c>
      <c r="H24" s="3"/>
      <c r="I24" s="3"/>
      <c r="J24" s="14">
        <f t="shared" si="17"/>
        <v>0</v>
      </c>
      <c r="K24" s="3">
        <f t="shared" si="18"/>
        <v>2</v>
      </c>
      <c r="L24" s="4">
        <f t="shared" si="19"/>
        <v>0</v>
      </c>
      <c r="M24" s="4">
        <f t="shared" si="20"/>
        <v>20</v>
      </c>
      <c r="N24" s="12" t="str">
        <f t="shared" si="21"/>
        <v>KEEP SELLING</v>
      </c>
    </row>
    <row r="25" spans="1:14" ht="18" customHeight="1" x14ac:dyDescent="0.2">
      <c r="A25" s="18" t="s">
        <v>80</v>
      </c>
      <c r="B25" s="18" t="s">
        <v>81</v>
      </c>
      <c r="C25" s="16" t="s">
        <v>41</v>
      </c>
      <c r="D25" s="16" t="s">
        <v>41</v>
      </c>
      <c r="E25" s="2">
        <v>10</v>
      </c>
      <c r="F25" s="13">
        <v>2</v>
      </c>
      <c r="G25" s="2">
        <f t="shared" si="16"/>
        <v>20</v>
      </c>
      <c r="H25" s="3"/>
      <c r="I25" s="3"/>
      <c r="J25" s="14">
        <f t="shared" si="17"/>
        <v>0</v>
      </c>
      <c r="K25" s="3">
        <f t="shared" si="18"/>
        <v>2</v>
      </c>
      <c r="L25" s="4">
        <f t="shared" si="19"/>
        <v>0</v>
      </c>
      <c r="M25" s="4">
        <f t="shared" si="20"/>
        <v>20</v>
      </c>
      <c r="N25" s="12" t="str">
        <f t="shared" si="21"/>
        <v>KEEP SELLING</v>
      </c>
    </row>
    <row r="26" spans="1:14" ht="18" customHeight="1" x14ac:dyDescent="0.2">
      <c r="A26" s="18" t="s">
        <v>80</v>
      </c>
      <c r="B26" s="18" t="s">
        <v>81</v>
      </c>
      <c r="C26" s="16" t="s">
        <v>42</v>
      </c>
      <c r="D26" s="16" t="s">
        <v>42</v>
      </c>
      <c r="E26" s="2">
        <v>10</v>
      </c>
      <c r="F26" s="13">
        <v>2</v>
      </c>
      <c r="G26" s="2">
        <f t="shared" si="16"/>
        <v>20</v>
      </c>
      <c r="H26" s="3"/>
      <c r="I26" s="3"/>
      <c r="J26" s="14">
        <f t="shared" si="17"/>
        <v>0</v>
      </c>
      <c r="K26" s="3">
        <f t="shared" si="18"/>
        <v>2</v>
      </c>
      <c r="L26" s="4">
        <f t="shared" si="19"/>
        <v>0</v>
      </c>
      <c r="M26" s="4">
        <f t="shared" si="20"/>
        <v>20</v>
      </c>
      <c r="N26" s="12" t="str">
        <f t="shared" si="21"/>
        <v>KEEP SELLING</v>
      </c>
    </row>
    <row r="27" spans="1:14" ht="18" customHeight="1" x14ac:dyDescent="0.2">
      <c r="A27" s="18" t="s">
        <v>80</v>
      </c>
      <c r="B27" s="18" t="s">
        <v>81</v>
      </c>
      <c r="C27" s="16" t="s">
        <v>43</v>
      </c>
      <c r="D27" s="16" t="s">
        <v>43</v>
      </c>
      <c r="E27" s="2">
        <v>10</v>
      </c>
      <c r="F27" s="13">
        <v>2</v>
      </c>
      <c r="G27" s="2">
        <f t="shared" si="16"/>
        <v>20</v>
      </c>
      <c r="H27" s="3"/>
      <c r="I27" s="3"/>
      <c r="J27" s="14">
        <f t="shared" si="17"/>
        <v>0</v>
      </c>
      <c r="K27" s="3">
        <f t="shared" si="18"/>
        <v>2</v>
      </c>
      <c r="L27" s="4">
        <f t="shared" si="19"/>
        <v>0</v>
      </c>
      <c r="M27" s="4">
        <f t="shared" si="20"/>
        <v>20</v>
      </c>
      <c r="N27" s="12" t="str">
        <f t="shared" si="21"/>
        <v>KEEP SELLING</v>
      </c>
    </row>
    <row r="28" spans="1:14" ht="18" customHeight="1" x14ac:dyDescent="0.2">
      <c r="A28" s="18" t="s">
        <v>80</v>
      </c>
      <c r="B28" s="18" t="s">
        <v>81</v>
      </c>
      <c r="C28" s="16" t="s">
        <v>44</v>
      </c>
      <c r="D28" s="16" t="s">
        <v>44</v>
      </c>
      <c r="E28" s="2">
        <v>10</v>
      </c>
      <c r="F28" s="13">
        <v>2</v>
      </c>
      <c r="G28" s="2">
        <f t="shared" si="16"/>
        <v>20</v>
      </c>
      <c r="H28" s="3"/>
      <c r="I28" s="3"/>
      <c r="J28" s="14">
        <f t="shared" si="17"/>
        <v>0</v>
      </c>
      <c r="K28" s="3">
        <f t="shared" si="18"/>
        <v>2</v>
      </c>
      <c r="L28" s="4">
        <f t="shared" si="19"/>
        <v>0</v>
      </c>
      <c r="M28" s="4">
        <f t="shared" si="20"/>
        <v>20</v>
      </c>
      <c r="N28" s="12" t="str">
        <f t="shared" si="21"/>
        <v>KEEP SELLING</v>
      </c>
    </row>
    <row r="29" spans="1:14" ht="18" customHeight="1" x14ac:dyDescent="0.2">
      <c r="A29" s="18" t="s">
        <v>80</v>
      </c>
      <c r="B29" s="18" t="s">
        <v>81</v>
      </c>
      <c r="C29" s="16" t="s">
        <v>45</v>
      </c>
      <c r="D29" s="16" t="s">
        <v>45</v>
      </c>
      <c r="E29" s="2">
        <v>10</v>
      </c>
      <c r="F29" s="13">
        <v>2</v>
      </c>
      <c r="G29" s="2">
        <f t="shared" si="16"/>
        <v>20</v>
      </c>
      <c r="H29" s="3"/>
      <c r="I29" s="3"/>
      <c r="J29" s="14">
        <f t="shared" si="17"/>
        <v>0</v>
      </c>
      <c r="K29" s="3">
        <f t="shared" si="18"/>
        <v>2</v>
      </c>
      <c r="L29" s="4">
        <f t="shared" si="19"/>
        <v>0</v>
      </c>
      <c r="M29" s="4">
        <f t="shared" si="20"/>
        <v>20</v>
      </c>
      <c r="N29" s="12" t="str">
        <f t="shared" si="21"/>
        <v>KEEP SELLING</v>
      </c>
    </row>
    <row r="30" spans="1:14" ht="18" customHeight="1" x14ac:dyDescent="0.2">
      <c r="A30" s="18" t="s">
        <v>80</v>
      </c>
      <c r="B30" s="18" t="s">
        <v>81</v>
      </c>
      <c r="C30" s="16" t="s">
        <v>46</v>
      </c>
      <c r="D30" s="16" t="s">
        <v>46</v>
      </c>
      <c r="E30" s="2">
        <v>10</v>
      </c>
      <c r="F30" s="13">
        <v>2</v>
      </c>
      <c r="G30" s="2">
        <f t="shared" si="16"/>
        <v>20</v>
      </c>
      <c r="H30" s="3"/>
      <c r="I30" s="3"/>
      <c r="J30" s="14">
        <f t="shared" si="17"/>
        <v>0</v>
      </c>
      <c r="K30" s="3">
        <f t="shared" si="18"/>
        <v>2</v>
      </c>
      <c r="L30" s="4">
        <f t="shared" si="19"/>
        <v>0</v>
      </c>
      <c r="M30" s="4">
        <f t="shared" si="20"/>
        <v>20</v>
      </c>
      <c r="N30" s="12" t="str">
        <f t="shared" si="21"/>
        <v>KEEP SELLING</v>
      </c>
    </row>
    <row r="31" spans="1:14" ht="18" customHeight="1" x14ac:dyDescent="0.2">
      <c r="A31" s="18" t="s">
        <v>83</v>
      </c>
      <c r="B31" s="18" t="s">
        <v>84</v>
      </c>
      <c r="C31" s="16" t="s">
        <v>14</v>
      </c>
      <c r="D31" s="16" t="s">
        <v>14</v>
      </c>
      <c r="E31" s="2">
        <v>5</v>
      </c>
      <c r="F31" s="13">
        <v>349</v>
      </c>
      <c r="G31" s="2">
        <f t="shared" si="16"/>
        <v>1745</v>
      </c>
      <c r="H31" s="3"/>
      <c r="I31" s="3"/>
      <c r="J31" s="14">
        <f t="shared" si="17"/>
        <v>0</v>
      </c>
      <c r="K31" s="3">
        <f t="shared" si="18"/>
        <v>349</v>
      </c>
      <c r="L31" s="4">
        <f t="shared" si="19"/>
        <v>0</v>
      </c>
      <c r="M31" s="4">
        <f t="shared" si="20"/>
        <v>1745</v>
      </c>
      <c r="N31" s="12" t="str">
        <f t="shared" si="21"/>
        <v>KEEP SELLING</v>
      </c>
    </row>
    <row r="32" spans="1:14" ht="18" customHeight="1" x14ac:dyDescent="0.2">
      <c r="A32" s="18" t="s">
        <v>83</v>
      </c>
      <c r="B32" s="18" t="s">
        <v>84</v>
      </c>
      <c r="C32" s="16" t="s">
        <v>16</v>
      </c>
      <c r="D32" s="16" t="s">
        <v>16</v>
      </c>
      <c r="E32" s="2">
        <v>5</v>
      </c>
      <c r="F32" s="13">
        <v>478</v>
      </c>
      <c r="G32" s="2">
        <f t="shared" si="16"/>
        <v>2390</v>
      </c>
      <c r="H32" s="3"/>
      <c r="I32" s="3"/>
      <c r="J32" s="14">
        <f t="shared" si="17"/>
        <v>0</v>
      </c>
      <c r="K32" s="3">
        <f t="shared" si="18"/>
        <v>478</v>
      </c>
      <c r="L32" s="4">
        <f t="shared" si="19"/>
        <v>0</v>
      </c>
      <c r="M32" s="4">
        <f t="shared" si="20"/>
        <v>2390</v>
      </c>
      <c r="N32" s="12" t="str">
        <f t="shared" si="21"/>
        <v>KEEP SELLING</v>
      </c>
    </row>
    <row r="33" spans="1:14" ht="18" customHeight="1" x14ac:dyDescent="0.2">
      <c r="A33" s="18" t="s">
        <v>83</v>
      </c>
      <c r="B33" s="18" t="s">
        <v>84</v>
      </c>
      <c r="C33" s="16" t="s">
        <v>47</v>
      </c>
      <c r="D33" s="16" t="s">
        <v>47</v>
      </c>
      <c r="E33" s="2">
        <v>5</v>
      </c>
      <c r="F33" s="13">
        <v>131</v>
      </c>
      <c r="G33" s="2">
        <f t="shared" si="16"/>
        <v>655</v>
      </c>
      <c r="H33" s="3"/>
      <c r="I33" s="3"/>
      <c r="J33" s="14">
        <f t="shared" si="17"/>
        <v>0</v>
      </c>
      <c r="K33" s="3">
        <f t="shared" si="18"/>
        <v>131</v>
      </c>
      <c r="L33" s="4">
        <f t="shared" si="19"/>
        <v>0</v>
      </c>
      <c r="M33" s="4">
        <f t="shared" si="20"/>
        <v>655</v>
      </c>
      <c r="N33" s="12" t="str">
        <f t="shared" si="21"/>
        <v>KEEP SELLING</v>
      </c>
    </row>
    <row r="34" spans="1:14" ht="18" customHeight="1" x14ac:dyDescent="0.2">
      <c r="A34" s="18" t="s">
        <v>85</v>
      </c>
      <c r="B34" s="18" t="s">
        <v>86</v>
      </c>
      <c r="C34" s="16" t="s">
        <v>23</v>
      </c>
      <c r="D34" s="16" t="s">
        <v>23</v>
      </c>
      <c r="E34" s="2">
        <v>25</v>
      </c>
      <c r="F34" s="13">
        <v>136</v>
      </c>
      <c r="G34" s="2">
        <f t="shared" si="16"/>
        <v>3400</v>
      </c>
      <c r="H34" s="3">
        <v>1920</v>
      </c>
      <c r="I34" s="3">
        <v>110</v>
      </c>
      <c r="J34" s="14">
        <f t="shared" si="17"/>
        <v>2030</v>
      </c>
      <c r="K34" s="3">
        <f t="shared" si="18"/>
        <v>-1894</v>
      </c>
      <c r="L34" s="4">
        <f t="shared" si="19"/>
        <v>50750</v>
      </c>
      <c r="M34" s="4">
        <f t="shared" si="20"/>
        <v>-47350</v>
      </c>
      <c r="N34" s="12" t="str">
        <f t="shared" si="21"/>
        <v>DO NOT SELL</v>
      </c>
    </row>
    <row r="35" spans="1:14" ht="18" customHeight="1" x14ac:dyDescent="0.2">
      <c r="A35" s="18" t="s">
        <v>85</v>
      </c>
      <c r="B35" s="18" t="s">
        <v>86</v>
      </c>
      <c r="C35" s="16" t="s">
        <v>24</v>
      </c>
      <c r="D35" s="16" t="s">
        <v>24</v>
      </c>
      <c r="E35" s="2">
        <v>54</v>
      </c>
      <c r="F35" s="13">
        <v>29</v>
      </c>
      <c r="G35" s="2">
        <f t="shared" si="16"/>
        <v>1566</v>
      </c>
      <c r="H35" s="3">
        <v>84</v>
      </c>
      <c r="I35" s="3">
        <v>77</v>
      </c>
      <c r="J35" s="14">
        <f>H35+I35</f>
        <v>161</v>
      </c>
      <c r="K35" s="3">
        <f t="shared" si="18"/>
        <v>-132</v>
      </c>
      <c r="L35" s="4">
        <f t="shared" si="19"/>
        <v>8694</v>
      </c>
      <c r="M35" s="4">
        <f t="shared" si="20"/>
        <v>-7128</v>
      </c>
      <c r="N35" s="12" t="str">
        <f t="shared" si="21"/>
        <v>DO NOT SELL</v>
      </c>
    </row>
    <row r="36" spans="1:14" ht="18" customHeight="1" x14ac:dyDescent="0.2">
      <c r="A36" s="18" t="s">
        <v>85</v>
      </c>
      <c r="B36" s="18" t="s">
        <v>86</v>
      </c>
      <c r="C36" s="16" t="s">
        <v>25</v>
      </c>
      <c r="D36" s="16" t="s">
        <v>25</v>
      </c>
      <c r="E36" s="2">
        <v>87</v>
      </c>
      <c r="F36" s="13">
        <v>15</v>
      </c>
      <c r="G36" s="2">
        <f t="shared" ref="G36:G65" si="28">E36*F36</f>
        <v>1305</v>
      </c>
      <c r="H36" s="3">
        <v>28</v>
      </c>
      <c r="I36" s="3">
        <v>2</v>
      </c>
      <c r="J36" s="14">
        <f>H36+I36</f>
        <v>30</v>
      </c>
      <c r="K36" s="3">
        <f t="shared" ref="K36:K65" si="29">F36-J36</f>
        <v>-15</v>
      </c>
      <c r="L36" s="4">
        <f t="shared" ref="L36:L65" si="30">J36*E36</f>
        <v>2610</v>
      </c>
      <c r="M36" s="4">
        <f t="shared" ref="M36:M65" si="31">G36-L36</f>
        <v>-1305</v>
      </c>
      <c r="N36" s="12" t="str">
        <f t="shared" ref="N36:N65" si="32">IF(M36&gt;0,"KEEP SELLING", "DO NOT SELL")</f>
        <v>DO NOT SELL</v>
      </c>
    </row>
    <row r="37" spans="1:14" ht="18" customHeight="1" x14ac:dyDescent="0.2">
      <c r="A37" s="18" t="s">
        <v>87</v>
      </c>
      <c r="B37" s="18" t="s">
        <v>88</v>
      </c>
      <c r="C37" s="16" t="s">
        <v>13</v>
      </c>
      <c r="D37" s="16" t="s">
        <v>13</v>
      </c>
      <c r="E37" s="2">
        <v>5</v>
      </c>
      <c r="F37" s="13">
        <v>618</v>
      </c>
      <c r="G37" s="2">
        <f t="shared" si="28"/>
        <v>3090</v>
      </c>
      <c r="H37" s="3"/>
      <c r="I37" s="3"/>
      <c r="J37" s="14">
        <f t="shared" ref="J37:J65" si="33">H37+I37</f>
        <v>0</v>
      </c>
      <c r="K37" s="3">
        <f t="shared" si="29"/>
        <v>618</v>
      </c>
      <c r="L37" s="4">
        <f t="shared" si="30"/>
        <v>0</v>
      </c>
      <c r="M37" s="4">
        <f t="shared" si="31"/>
        <v>3090</v>
      </c>
      <c r="N37" s="12" t="str">
        <f t="shared" si="32"/>
        <v>KEEP SELLING</v>
      </c>
    </row>
    <row r="38" spans="1:14" ht="18" customHeight="1" x14ac:dyDescent="0.2">
      <c r="A38" s="18" t="s">
        <v>87</v>
      </c>
      <c r="B38" s="18" t="s">
        <v>88</v>
      </c>
      <c r="C38" s="16" t="s">
        <v>14</v>
      </c>
      <c r="D38" s="16" t="s">
        <v>14</v>
      </c>
      <c r="E38" s="2">
        <v>5</v>
      </c>
      <c r="F38" s="13">
        <v>128</v>
      </c>
      <c r="G38" s="2">
        <f t="shared" si="28"/>
        <v>640</v>
      </c>
      <c r="H38" s="3"/>
      <c r="I38" s="3"/>
      <c r="J38" s="14">
        <f t="shared" si="33"/>
        <v>0</v>
      </c>
      <c r="K38" s="3">
        <f t="shared" si="29"/>
        <v>128</v>
      </c>
      <c r="L38" s="4">
        <f t="shared" si="30"/>
        <v>0</v>
      </c>
      <c r="M38" s="4">
        <f t="shared" si="31"/>
        <v>640</v>
      </c>
      <c r="N38" s="12" t="str">
        <f t="shared" si="32"/>
        <v>KEEP SELLING</v>
      </c>
    </row>
    <row r="39" spans="1:14" ht="18" customHeight="1" x14ac:dyDescent="0.2">
      <c r="A39" s="18" t="s">
        <v>87</v>
      </c>
      <c r="B39" s="18" t="s">
        <v>88</v>
      </c>
      <c r="C39" s="16" t="s">
        <v>15</v>
      </c>
      <c r="D39" s="16" t="s">
        <v>15</v>
      </c>
      <c r="E39" s="2">
        <v>2</v>
      </c>
      <c r="F39" s="13">
        <v>258</v>
      </c>
      <c r="G39" s="2">
        <f t="shared" si="28"/>
        <v>516</v>
      </c>
      <c r="H39" s="3"/>
      <c r="I39" s="3"/>
      <c r="J39" s="14">
        <f t="shared" si="33"/>
        <v>0</v>
      </c>
      <c r="K39" s="3">
        <f t="shared" si="29"/>
        <v>258</v>
      </c>
      <c r="L39" s="4">
        <f t="shared" si="30"/>
        <v>0</v>
      </c>
      <c r="M39" s="4">
        <f t="shared" si="31"/>
        <v>516</v>
      </c>
      <c r="N39" s="12" t="str">
        <f t="shared" si="32"/>
        <v>KEEP SELLING</v>
      </c>
    </row>
    <row r="40" spans="1:14" ht="18" customHeight="1" x14ac:dyDescent="0.2">
      <c r="A40" s="18" t="s">
        <v>87</v>
      </c>
      <c r="B40" s="18" t="s">
        <v>88</v>
      </c>
      <c r="C40" s="16" t="s">
        <v>16</v>
      </c>
      <c r="D40" s="16" t="s">
        <v>16</v>
      </c>
      <c r="E40" s="2">
        <v>5</v>
      </c>
      <c r="F40" s="13">
        <v>192</v>
      </c>
      <c r="G40" s="2">
        <f t="shared" si="28"/>
        <v>960</v>
      </c>
      <c r="H40" s="3"/>
      <c r="I40" s="3"/>
      <c r="J40" s="14">
        <f t="shared" si="33"/>
        <v>0</v>
      </c>
      <c r="K40" s="3">
        <f t="shared" si="29"/>
        <v>192</v>
      </c>
      <c r="L40" s="4">
        <f t="shared" si="30"/>
        <v>0</v>
      </c>
      <c r="M40" s="4">
        <f t="shared" si="31"/>
        <v>960</v>
      </c>
      <c r="N40" s="12" t="str">
        <f t="shared" si="32"/>
        <v>KEEP SELLING</v>
      </c>
    </row>
    <row r="41" spans="1:14" ht="18" customHeight="1" x14ac:dyDescent="0.2">
      <c r="A41" s="18" t="s">
        <v>87</v>
      </c>
      <c r="B41" s="18" t="s">
        <v>88</v>
      </c>
      <c r="C41" s="16" t="s">
        <v>17</v>
      </c>
      <c r="D41" s="16" t="s">
        <v>17</v>
      </c>
      <c r="E41" s="2">
        <v>5</v>
      </c>
      <c r="F41" s="13">
        <v>67</v>
      </c>
      <c r="G41" s="2">
        <f t="shared" si="28"/>
        <v>335</v>
      </c>
      <c r="H41" s="3"/>
      <c r="I41" s="3"/>
      <c r="J41" s="14">
        <f t="shared" si="33"/>
        <v>0</v>
      </c>
      <c r="K41" s="3">
        <f t="shared" si="29"/>
        <v>67</v>
      </c>
      <c r="L41" s="4">
        <f t="shared" si="30"/>
        <v>0</v>
      </c>
      <c r="M41" s="4">
        <f t="shared" si="31"/>
        <v>335</v>
      </c>
      <c r="N41" s="12" t="str">
        <f t="shared" si="32"/>
        <v>KEEP SELLING</v>
      </c>
    </row>
    <row r="42" spans="1:14" ht="18" customHeight="1" x14ac:dyDescent="0.2">
      <c r="A42" s="18" t="s">
        <v>87</v>
      </c>
      <c r="B42" s="18" t="s">
        <v>88</v>
      </c>
      <c r="C42" s="16" t="s">
        <v>18</v>
      </c>
      <c r="D42" s="16" t="s">
        <v>18</v>
      </c>
      <c r="E42" s="2">
        <v>5</v>
      </c>
      <c r="F42" s="13">
        <v>42</v>
      </c>
      <c r="G42" s="2">
        <f t="shared" si="28"/>
        <v>210</v>
      </c>
      <c r="H42" s="3"/>
      <c r="I42" s="3"/>
      <c r="J42" s="14">
        <f t="shared" si="33"/>
        <v>0</v>
      </c>
      <c r="K42" s="3">
        <f t="shared" si="29"/>
        <v>42</v>
      </c>
      <c r="L42" s="4">
        <f t="shared" si="30"/>
        <v>0</v>
      </c>
      <c r="M42" s="4">
        <f t="shared" si="31"/>
        <v>210</v>
      </c>
      <c r="N42" s="12" t="str">
        <f t="shared" si="32"/>
        <v>KEEP SELLING</v>
      </c>
    </row>
    <row r="43" spans="1:14" ht="18" customHeight="1" x14ac:dyDescent="0.2">
      <c r="A43" s="18" t="s">
        <v>87</v>
      </c>
      <c r="B43" s="18" t="s">
        <v>88</v>
      </c>
      <c r="C43" s="16" t="s">
        <v>19</v>
      </c>
      <c r="D43" s="16" t="s">
        <v>19</v>
      </c>
      <c r="E43" s="2">
        <v>5</v>
      </c>
      <c r="F43" s="13">
        <v>81</v>
      </c>
      <c r="G43" s="2">
        <f t="shared" si="28"/>
        <v>405</v>
      </c>
      <c r="H43" s="3"/>
      <c r="I43" s="3"/>
      <c r="J43" s="14">
        <f t="shared" si="33"/>
        <v>0</v>
      </c>
      <c r="K43" s="3">
        <f t="shared" si="29"/>
        <v>81</v>
      </c>
      <c r="L43" s="4">
        <f t="shared" si="30"/>
        <v>0</v>
      </c>
      <c r="M43" s="4">
        <f t="shared" si="31"/>
        <v>405</v>
      </c>
      <c r="N43" s="12" t="str">
        <f t="shared" si="32"/>
        <v>KEEP SELLING</v>
      </c>
    </row>
    <row r="44" spans="1:14" ht="18" customHeight="1" x14ac:dyDescent="0.2">
      <c r="A44" s="18" t="s">
        <v>87</v>
      </c>
      <c r="B44" s="18" t="s">
        <v>88</v>
      </c>
      <c r="C44" s="16" t="s">
        <v>20</v>
      </c>
      <c r="D44" s="16" t="s">
        <v>20</v>
      </c>
      <c r="E44" s="2">
        <v>30</v>
      </c>
      <c r="F44" s="13">
        <v>17</v>
      </c>
      <c r="G44" s="2">
        <f t="shared" si="28"/>
        <v>510</v>
      </c>
      <c r="H44" s="3"/>
      <c r="I44" s="3"/>
      <c r="J44" s="14">
        <f t="shared" si="33"/>
        <v>0</v>
      </c>
      <c r="K44" s="3">
        <f t="shared" si="29"/>
        <v>17</v>
      </c>
      <c r="L44" s="4">
        <f t="shared" si="30"/>
        <v>0</v>
      </c>
      <c r="M44" s="4">
        <f t="shared" si="31"/>
        <v>510</v>
      </c>
      <c r="N44" s="12" t="str">
        <f t="shared" si="32"/>
        <v>KEEP SELLING</v>
      </c>
    </row>
    <row r="45" spans="1:14" ht="18" customHeight="1" x14ac:dyDescent="0.2">
      <c r="A45" s="18" t="s">
        <v>87</v>
      </c>
      <c r="B45" s="18" t="s">
        <v>88</v>
      </c>
      <c r="C45" s="16" t="s">
        <v>21</v>
      </c>
      <c r="D45" s="16" t="s">
        <v>21</v>
      </c>
      <c r="E45" s="2">
        <v>30</v>
      </c>
      <c r="F45" s="13">
        <v>5</v>
      </c>
      <c r="G45" s="2">
        <f t="shared" si="28"/>
        <v>150</v>
      </c>
      <c r="H45" s="3"/>
      <c r="I45" s="3"/>
      <c r="J45" s="14">
        <f t="shared" si="33"/>
        <v>0</v>
      </c>
      <c r="K45" s="3">
        <f t="shared" si="29"/>
        <v>5</v>
      </c>
      <c r="L45" s="4">
        <f t="shared" si="30"/>
        <v>0</v>
      </c>
      <c r="M45" s="4">
        <f t="shared" si="31"/>
        <v>150</v>
      </c>
      <c r="N45" s="12" t="str">
        <f t="shared" si="32"/>
        <v>KEEP SELLING</v>
      </c>
    </row>
    <row r="46" spans="1:14" ht="18" customHeight="1" x14ac:dyDescent="0.2">
      <c r="A46" s="18" t="s">
        <v>87</v>
      </c>
      <c r="B46" s="18" t="s">
        <v>88</v>
      </c>
      <c r="C46" s="16" t="s">
        <v>26</v>
      </c>
      <c r="D46" s="16" t="s">
        <v>26</v>
      </c>
      <c r="E46" s="2">
        <v>30</v>
      </c>
      <c r="F46" s="13">
        <v>75</v>
      </c>
      <c r="G46" s="2">
        <f t="shared" si="28"/>
        <v>2250</v>
      </c>
      <c r="H46" s="3"/>
      <c r="I46" s="3"/>
      <c r="J46" s="14">
        <f t="shared" si="33"/>
        <v>0</v>
      </c>
      <c r="K46" s="3">
        <f t="shared" si="29"/>
        <v>75</v>
      </c>
      <c r="L46" s="4">
        <f t="shared" si="30"/>
        <v>0</v>
      </c>
      <c r="M46" s="4">
        <f t="shared" si="31"/>
        <v>2250</v>
      </c>
      <c r="N46" s="12" t="str">
        <f t="shared" si="32"/>
        <v>KEEP SELLING</v>
      </c>
    </row>
    <row r="47" spans="1:14" ht="18" customHeight="1" x14ac:dyDescent="0.2">
      <c r="A47" s="18" t="s">
        <v>87</v>
      </c>
      <c r="B47" s="18" t="s">
        <v>88</v>
      </c>
      <c r="C47" s="16" t="s">
        <v>22</v>
      </c>
      <c r="D47" s="16" t="s">
        <v>22</v>
      </c>
      <c r="E47" s="2">
        <v>80</v>
      </c>
      <c r="F47" s="13">
        <v>141</v>
      </c>
      <c r="G47" s="2">
        <f t="shared" si="28"/>
        <v>11280</v>
      </c>
      <c r="H47" s="3"/>
      <c r="I47" s="3"/>
      <c r="J47" s="14">
        <f t="shared" si="33"/>
        <v>0</v>
      </c>
      <c r="K47" s="3">
        <f t="shared" si="29"/>
        <v>141</v>
      </c>
      <c r="L47" s="4">
        <f t="shared" si="30"/>
        <v>0</v>
      </c>
      <c r="M47" s="4">
        <f t="shared" si="31"/>
        <v>11280</v>
      </c>
      <c r="N47" s="12" t="str">
        <f t="shared" si="32"/>
        <v>KEEP SELLING</v>
      </c>
    </row>
    <row r="48" spans="1:14" ht="18" customHeight="1" x14ac:dyDescent="0.2">
      <c r="A48" s="18" t="s">
        <v>89</v>
      </c>
      <c r="B48" s="18" t="s">
        <v>90</v>
      </c>
      <c r="C48" s="16" t="s">
        <v>48</v>
      </c>
      <c r="D48" s="16" t="s">
        <v>48</v>
      </c>
      <c r="E48" s="2">
        <v>50</v>
      </c>
      <c r="F48" s="13">
        <v>15</v>
      </c>
      <c r="G48" s="2">
        <f t="shared" si="28"/>
        <v>750</v>
      </c>
      <c r="H48" s="3"/>
      <c r="I48" s="3"/>
      <c r="J48" s="14">
        <f t="shared" si="33"/>
        <v>0</v>
      </c>
      <c r="K48" s="3">
        <f t="shared" si="29"/>
        <v>15</v>
      </c>
      <c r="L48" s="4">
        <f t="shared" si="30"/>
        <v>0</v>
      </c>
      <c r="M48" s="4">
        <f t="shared" si="31"/>
        <v>750</v>
      </c>
      <c r="N48" s="12" t="str">
        <f t="shared" si="32"/>
        <v>KEEP SELLING</v>
      </c>
    </row>
    <row r="49" spans="1:14" ht="18" customHeight="1" x14ac:dyDescent="0.2">
      <c r="A49" s="18" t="s">
        <v>89</v>
      </c>
      <c r="B49" s="18" t="s">
        <v>90</v>
      </c>
      <c r="C49" s="16" t="s">
        <v>49</v>
      </c>
      <c r="D49" s="16" t="s">
        <v>49</v>
      </c>
      <c r="E49" s="2">
        <v>80</v>
      </c>
      <c r="F49" s="13">
        <v>42</v>
      </c>
      <c r="G49" s="2">
        <f t="shared" si="28"/>
        <v>3360</v>
      </c>
      <c r="H49" s="3"/>
      <c r="I49" s="3"/>
      <c r="J49" s="14">
        <f t="shared" si="33"/>
        <v>0</v>
      </c>
      <c r="K49" s="3">
        <f t="shared" si="29"/>
        <v>42</v>
      </c>
      <c r="L49" s="4">
        <f t="shared" si="30"/>
        <v>0</v>
      </c>
      <c r="M49" s="4">
        <f t="shared" si="31"/>
        <v>3360</v>
      </c>
      <c r="N49" s="12" t="str">
        <f t="shared" si="32"/>
        <v>KEEP SELLING</v>
      </c>
    </row>
    <row r="50" spans="1:14" ht="18" customHeight="1" x14ac:dyDescent="0.2">
      <c r="A50" s="18" t="s">
        <v>89</v>
      </c>
      <c r="B50" s="18" t="s">
        <v>90</v>
      </c>
      <c r="C50" s="16" t="s">
        <v>50</v>
      </c>
      <c r="D50" s="16" t="s">
        <v>50</v>
      </c>
      <c r="E50" s="2">
        <v>120</v>
      </c>
      <c r="F50" s="13">
        <v>1</v>
      </c>
      <c r="G50" s="2">
        <f t="shared" si="28"/>
        <v>120</v>
      </c>
      <c r="H50" s="3"/>
      <c r="I50" s="3"/>
      <c r="J50" s="14">
        <f t="shared" si="33"/>
        <v>0</v>
      </c>
      <c r="K50" s="3">
        <f t="shared" si="29"/>
        <v>1</v>
      </c>
      <c r="L50" s="4">
        <f t="shared" si="30"/>
        <v>0</v>
      </c>
      <c r="M50" s="4">
        <f t="shared" si="31"/>
        <v>120</v>
      </c>
      <c r="N50" s="12" t="str">
        <f t="shared" si="32"/>
        <v>KEEP SELLING</v>
      </c>
    </row>
    <row r="51" spans="1:14" ht="18" customHeight="1" x14ac:dyDescent="0.2">
      <c r="A51" s="18" t="s">
        <v>89</v>
      </c>
      <c r="B51" s="18" t="s">
        <v>90</v>
      </c>
      <c r="C51" s="16" t="s">
        <v>51</v>
      </c>
      <c r="D51" s="16" t="s">
        <v>51</v>
      </c>
      <c r="E51" s="2">
        <v>50</v>
      </c>
      <c r="F51" s="13">
        <v>80</v>
      </c>
      <c r="G51" s="2">
        <f t="shared" si="28"/>
        <v>4000</v>
      </c>
      <c r="H51" s="3"/>
      <c r="I51" s="3"/>
      <c r="J51" s="14">
        <f t="shared" si="33"/>
        <v>0</v>
      </c>
      <c r="K51" s="3">
        <f t="shared" si="29"/>
        <v>80</v>
      </c>
      <c r="L51" s="4">
        <f t="shared" si="30"/>
        <v>0</v>
      </c>
      <c r="M51" s="4">
        <f t="shared" si="31"/>
        <v>4000</v>
      </c>
      <c r="N51" s="12" t="str">
        <f t="shared" si="32"/>
        <v>KEEP SELLING</v>
      </c>
    </row>
    <row r="52" spans="1:14" ht="18" customHeight="1" x14ac:dyDescent="0.2">
      <c r="A52" s="18" t="s">
        <v>89</v>
      </c>
      <c r="B52" s="18" t="s">
        <v>90</v>
      </c>
      <c r="C52" s="16" t="s">
        <v>52</v>
      </c>
      <c r="D52" s="16" t="s">
        <v>52</v>
      </c>
      <c r="E52" s="2">
        <v>80</v>
      </c>
      <c r="F52" s="13">
        <v>162</v>
      </c>
      <c r="G52" s="2">
        <f t="shared" si="28"/>
        <v>12960</v>
      </c>
      <c r="H52" s="3"/>
      <c r="I52" s="3"/>
      <c r="J52" s="14">
        <f t="shared" si="33"/>
        <v>0</v>
      </c>
      <c r="K52" s="3">
        <f t="shared" si="29"/>
        <v>162</v>
      </c>
      <c r="L52" s="4">
        <f t="shared" si="30"/>
        <v>0</v>
      </c>
      <c r="M52" s="4">
        <f t="shared" si="31"/>
        <v>12960</v>
      </c>
      <c r="N52" s="12" t="str">
        <f t="shared" si="32"/>
        <v>KEEP SELLING</v>
      </c>
    </row>
    <row r="53" spans="1:14" ht="18" customHeight="1" x14ac:dyDescent="0.2">
      <c r="A53" s="18" t="s">
        <v>89</v>
      </c>
      <c r="B53" s="18" t="s">
        <v>90</v>
      </c>
      <c r="C53" s="16" t="s">
        <v>53</v>
      </c>
      <c r="D53" s="16" t="s">
        <v>53</v>
      </c>
      <c r="E53" s="2">
        <v>120</v>
      </c>
      <c r="F53" s="13">
        <v>1</v>
      </c>
      <c r="G53" s="2">
        <f t="shared" si="28"/>
        <v>120</v>
      </c>
      <c r="H53" s="3"/>
      <c r="I53" s="3"/>
      <c r="J53" s="14">
        <f t="shared" si="33"/>
        <v>0</v>
      </c>
      <c r="K53" s="3">
        <f t="shared" si="29"/>
        <v>1</v>
      </c>
      <c r="L53" s="4">
        <f t="shared" si="30"/>
        <v>0</v>
      </c>
      <c r="M53" s="4">
        <f t="shared" si="31"/>
        <v>120</v>
      </c>
      <c r="N53" s="12" t="str">
        <f t="shared" si="32"/>
        <v>KEEP SELLING</v>
      </c>
    </row>
    <row r="54" spans="1:14" ht="18" customHeight="1" x14ac:dyDescent="0.2">
      <c r="A54" s="18" t="s">
        <v>89</v>
      </c>
      <c r="B54" s="18" t="s">
        <v>90</v>
      </c>
      <c r="C54" s="16" t="s">
        <v>54</v>
      </c>
      <c r="D54" s="16" t="s">
        <v>54</v>
      </c>
      <c r="E54" s="2">
        <v>50</v>
      </c>
      <c r="F54" s="13">
        <v>10</v>
      </c>
      <c r="G54" s="2">
        <f t="shared" si="28"/>
        <v>500</v>
      </c>
      <c r="H54" s="3"/>
      <c r="I54" s="3"/>
      <c r="J54" s="14">
        <f t="shared" si="33"/>
        <v>0</v>
      </c>
      <c r="K54" s="3">
        <f t="shared" si="29"/>
        <v>10</v>
      </c>
      <c r="L54" s="4">
        <f t="shared" si="30"/>
        <v>0</v>
      </c>
      <c r="M54" s="4">
        <f t="shared" si="31"/>
        <v>500</v>
      </c>
      <c r="N54" s="12" t="str">
        <f t="shared" si="32"/>
        <v>KEEP SELLING</v>
      </c>
    </row>
    <row r="55" spans="1:14" ht="18" customHeight="1" x14ac:dyDescent="0.2">
      <c r="A55" s="18" t="s">
        <v>89</v>
      </c>
      <c r="B55" s="18" t="s">
        <v>90</v>
      </c>
      <c r="C55" s="16" t="s">
        <v>55</v>
      </c>
      <c r="D55" s="16" t="s">
        <v>55</v>
      </c>
      <c r="E55" s="2">
        <v>80</v>
      </c>
      <c r="F55" s="13">
        <v>72</v>
      </c>
      <c r="G55" s="2">
        <f t="shared" si="28"/>
        <v>5760</v>
      </c>
      <c r="H55" s="3"/>
      <c r="I55" s="3"/>
      <c r="J55" s="14">
        <f t="shared" si="33"/>
        <v>0</v>
      </c>
      <c r="K55" s="3">
        <f t="shared" si="29"/>
        <v>72</v>
      </c>
      <c r="L55" s="4">
        <f t="shared" si="30"/>
        <v>0</v>
      </c>
      <c r="M55" s="4">
        <f t="shared" si="31"/>
        <v>5760</v>
      </c>
      <c r="N55" s="12" t="str">
        <f t="shared" si="32"/>
        <v>KEEP SELLING</v>
      </c>
    </row>
    <row r="56" spans="1:14" ht="18" customHeight="1" x14ac:dyDescent="0.2">
      <c r="A56" s="18" t="s">
        <v>89</v>
      </c>
      <c r="B56" s="18" t="s">
        <v>90</v>
      </c>
      <c r="C56" s="16" t="s">
        <v>56</v>
      </c>
      <c r="D56" s="16" t="s">
        <v>56</v>
      </c>
      <c r="E56" s="2">
        <v>120</v>
      </c>
      <c r="F56" s="13">
        <v>1</v>
      </c>
      <c r="G56" s="2">
        <f t="shared" si="28"/>
        <v>120</v>
      </c>
      <c r="H56" s="3"/>
      <c r="I56" s="3"/>
      <c r="J56" s="14">
        <f t="shared" si="33"/>
        <v>0</v>
      </c>
      <c r="K56" s="3">
        <f t="shared" si="29"/>
        <v>1</v>
      </c>
      <c r="L56" s="4">
        <f t="shared" si="30"/>
        <v>0</v>
      </c>
      <c r="M56" s="4">
        <f t="shared" si="31"/>
        <v>120</v>
      </c>
      <c r="N56" s="12" t="str">
        <f t="shared" si="32"/>
        <v>KEEP SELLING</v>
      </c>
    </row>
    <row r="57" spans="1:14" ht="18" customHeight="1" x14ac:dyDescent="0.2">
      <c r="A57" s="18" t="s">
        <v>89</v>
      </c>
      <c r="B57" s="18" t="s">
        <v>90</v>
      </c>
      <c r="C57" s="16" t="s">
        <v>57</v>
      </c>
      <c r="D57" s="16" t="s">
        <v>57</v>
      </c>
      <c r="E57" s="2">
        <v>50</v>
      </c>
      <c r="F57" s="13">
        <v>10</v>
      </c>
      <c r="G57" s="2">
        <f t="shared" si="28"/>
        <v>500</v>
      </c>
      <c r="H57" s="3"/>
      <c r="I57" s="3"/>
      <c r="J57" s="14">
        <f t="shared" si="33"/>
        <v>0</v>
      </c>
      <c r="K57" s="3">
        <f t="shared" si="29"/>
        <v>10</v>
      </c>
      <c r="L57" s="4">
        <f t="shared" si="30"/>
        <v>0</v>
      </c>
      <c r="M57" s="4">
        <f t="shared" si="31"/>
        <v>500</v>
      </c>
      <c r="N57" s="12" t="str">
        <f t="shared" si="32"/>
        <v>KEEP SELLING</v>
      </c>
    </row>
    <row r="58" spans="1:14" ht="18" customHeight="1" x14ac:dyDescent="0.2">
      <c r="A58" s="18" t="s">
        <v>89</v>
      </c>
      <c r="B58" s="18" t="s">
        <v>90</v>
      </c>
      <c r="C58" s="16" t="s">
        <v>58</v>
      </c>
      <c r="D58" s="16" t="s">
        <v>58</v>
      </c>
      <c r="E58" s="2">
        <v>80</v>
      </c>
      <c r="F58" s="13">
        <v>36</v>
      </c>
      <c r="G58" s="2">
        <f t="shared" si="28"/>
        <v>2880</v>
      </c>
      <c r="H58" s="3"/>
      <c r="I58" s="3"/>
      <c r="J58" s="14">
        <f t="shared" si="33"/>
        <v>0</v>
      </c>
      <c r="K58" s="3">
        <f t="shared" si="29"/>
        <v>36</v>
      </c>
      <c r="L58" s="4">
        <f t="shared" si="30"/>
        <v>0</v>
      </c>
      <c r="M58" s="4">
        <f t="shared" si="31"/>
        <v>2880</v>
      </c>
      <c r="N58" s="12" t="str">
        <f t="shared" si="32"/>
        <v>KEEP SELLING</v>
      </c>
    </row>
    <row r="59" spans="1:14" ht="18" customHeight="1" x14ac:dyDescent="0.2">
      <c r="A59" s="18" t="s">
        <v>89</v>
      </c>
      <c r="B59" s="18" t="s">
        <v>90</v>
      </c>
      <c r="C59" s="16" t="s">
        <v>59</v>
      </c>
      <c r="D59" s="16" t="s">
        <v>59</v>
      </c>
      <c r="E59" s="2">
        <v>120</v>
      </c>
      <c r="F59" s="13">
        <v>1</v>
      </c>
      <c r="G59" s="2">
        <f t="shared" si="28"/>
        <v>120</v>
      </c>
      <c r="H59" s="3"/>
      <c r="I59" s="3"/>
      <c r="J59" s="14">
        <f t="shared" si="33"/>
        <v>0</v>
      </c>
      <c r="K59" s="3">
        <f t="shared" si="29"/>
        <v>1</v>
      </c>
      <c r="L59" s="4">
        <f t="shared" si="30"/>
        <v>0</v>
      </c>
      <c r="M59" s="4">
        <f t="shared" si="31"/>
        <v>120</v>
      </c>
      <c r="N59" s="12" t="str">
        <f t="shared" si="32"/>
        <v>KEEP SELLING</v>
      </c>
    </row>
    <row r="60" spans="1:14" ht="18" customHeight="1" x14ac:dyDescent="0.2">
      <c r="A60" s="18" t="s">
        <v>91</v>
      </c>
      <c r="B60" s="18" t="s">
        <v>92</v>
      </c>
      <c r="C60" s="16" t="s">
        <v>60</v>
      </c>
      <c r="D60" s="16" t="s">
        <v>60</v>
      </c>
      <c r="E60" s="2">
        <v>50</v>
      </c>
      <c r="F60" s="13">
        <v>3</v>
      </c>
      <c r="G60" s="2">
        <f t="shared" si="28"/>
        <v>150</v>
      </c>
      <c r="H60" s="3"/>
      <c r="I60" s="3"/>
      <c r="J60" s="14">
        <f t="shared" si="33"/>
        <v>0</v>
      </c>
      <c r="K60" s="3">
        <f t="shared" si="29"/>
        <v>3</v>
      </c>
      <c r="L60" s="4">
        <f t="shared" si="30"/>
        <v>0</v>
      </c>
      <c r="M60" s="4">
        <f t="shared" si="31"/>
        <v>150</v>
      </c>
      <c r="N60" s="12" t="str">
        <f t="shared" si="32"/>
        <v>KEEP SELLING</v>
      </c>
    </row>
    <row r="61" spans="1:14" ht="18" customHeight="1" x14ac:dyDescent="0.2">
      <c r="A61" s="18" t="s">
        <v>91</v>
      </c>
      <c r="B61" s="18" t="s">
        <v>92</v>
      </c>
      <c r="C61" s="16" t="s">
        <v>61</v>
      </c>
      <c r="D61" s="16" t="s">
        <v>61</v>
      </c>
      <c r="E61" s="2">
        <v>80</v>
      </c>
      <c r="F61" s="13">
        <v>5</v>
      </c>
      <c r="G61" s="2">
        <f t="shared" si="28"/>
        <v>400</v>
      </c>
      <c r="H61" s="3"/>
      <c r="I61" s="3"/>
      <c r="J61" s="14">
        <f t="shared" si="33"/>
        <v>0</v>
      </c>
      <c r="K61" s="3">
        <f t="shared" si="29"/>
        <v>5</v>
      </c>
      <c r="L61" s="4">
        <f t="shared" si="30"/>
        <v>0</v>
      </c>
      <c r="M61" s="4">
        <f t="shared" si="31"/>
        <v>400</v>
      </c>
      <c r="N61" s="12" t="str">
        <f t="shared" si="32"/>
        <v>KEEP SELLING</v>
      </c>
    </row>
    <row r="62" spans="1:14" ht="18" customHeight="1" x14ac:dyDescent="0.2">
      <c r="A62" s="18" t="s">
        <v>91</v>
      </c>
      <c r="B62" s="18" t="s">
        <v>92</v>
      </c>
      <c r="C62" s="16" t="s">
        <v>62</v>
      </c>
      <c r="D62" s="16" t="s">
        <v>62</v>
      </c>
      <c r="E62" s="2">
        <v>50</v>
      </c>
      <c r="F62" s="13">
        <v>7</v>
      </c>
      <c r="G62" s="2">
        <f t="shared" si="28"/>
        <v>350</v>
      </c>
      <c r="H62" s="3"/>
      <c r="I62" s="3"/>
      <c r="J62" s="14">
        <f t="shared" si="33"/>
        <v>0</v>
      </c>
      <c r="K62" s="3">
        <f t="shared" si="29"/>
        <v>7</v>
      </c>
      <c r="L62" s="4">
        <f t="shared" si="30"/>
        <v>0</v>
      </c>
      <c r="M62" s="4">
        <f t="shared" si="31"/>
        <v>350</v>
      </c>
      <c r="N62" s="12" t="str">
        <f t="shared" si="32"/>
        <v>KEEP SELLING</v>
      </c>
    </row>
    <row r="63" spans="1:14" ht="18" customHeight="1" x14ac:dyDescent="0.2">
      <c r="A63" s="18" t="s">
        <v>91</v>
      </c>
      <c r="B63" s="18" t="s">
        <v>92</v>
      </c>
      <c r="C63" s="16" t="s">
        <v>63</v>
      </c>
      <c r="D63" s="16" t="s">
        <v>63</v>
      </c>
      <c r="E63" s="2">
        <v>80</v>
      </c>
      <c r="F63" s="13">
        <v>6</v>
      </c>
      <c r="G63" s="2">
        <f t="shared" si="28"/>
        <v>480</v>
      </c>
      <c r="H63" s="3"/>
      <c r="I63" s="3"/>
      <c r="J63" s="14">
        <f t="shared" si="33"/>
        <v>0</v>
      </c>
      <c r="K63" s="3">
        <f t="shared" si="29"/>
        <v>6</v>
      </c>
      <c r="L63" s="4">
        <f t="shared" si="30"/>
        <v>0</v>
      </c>
      <c r="M63" s="4">
        <f t="shared" si="31"/>
        <v>480</v>
      </c>
      <c r="N63" s="12" t="str">
        <f t="shared" si="32"/>
        <v>KEEP SELLING</v>
      </c>
    </row>
    <row r="64" spans="1:14" ht="18" customHeight="1" x14ac:dyDescent="0.2">
      <c r="A64" s="18" t="s">
        <v>91</v>
      </c>
      <c r="B64" s="18" t="s">
        <v>92</v>
      </c>
      <c r="C64" s="16" t="s">
        <v>64</v>
      </c>
      <c r="D64" s="16" t="s">
        <v>64</v>
      </c>
      <c r="E64" s="2">
        <v>50</v>
      </c>
      <c r="F64" s="13">
        <v>4</v>
      </c>
      <c r="G64" s="2">
        <f t="shared" si="28"/>
        <v>200</v>
      </c>
      <c r="H64" s="3"/>
      <c r="I64" s="3"/>
      <c r="J64" s="14">
        <f t="shared" si="33"/>
        <v>0</v>
      </c>
      <c r="K64" s="3">
        <f t="shared" si="29"/>
        <v>4</v>
      </c>
      <c r="L64" s="4">
        <f t="shared" si="30"/>
        <v>0</v>
      </c>
      <c r="M64" s="4">
        <f t="shared" si="31"/>
        <v>200</v>
      </c>
      <c r="N64" s="12" t="str">
        <f t="shared" si="32"/>
        <v>KEEP SELLING</v>
      </c>
    </row>
    <row r="65" spans="1:14" ht="18" customHeight="1" x14ac:dyDescent="0.2">
      <c r="A65" s="18" t="s">
        <v>91</v>
      </c>
      <c r="B65" s="18" t="s">
        <v>92</v>
      </c>
      <c r="C65" s="16" t="s">
        <v>65</v>
      </c>
      <c r="D65" s="16" t="s">
        <v>65</v>
      </c>
      <c r="E65" s="2">
        <v>80</v>
      </c>
      <c r="F65" s="13">
        <v>2</v>
      </c>
      <c r="G65" s="2">
        <f t="shared" si="28"/>
        <v>160</v>
      </c>
      <c r="H65" s="3"/>
      <c r="I65" s="3"/>
      <c r="J65" s="14">
        <f t="shared" si="33"/>
        <v>0</v>
      </c>
      <c r="K65" s="3">
        <f t="shared" si="29"/>
        <v>2</v>
      </c>
      <c r="L65" s="4">
        <f t="shared" si="30"/>
        <v>0</v>
      </c>
      <c r="M65" s="4">
        <f t="shared" si="31"/>
        <v>160</v>
      </c>
      <c r="N65" s="12" t="str">
        <f t="shared" si="32"/>
        <v>KEEP SELLING</v>
      </c>
    </row>
    <row r="66" spans="1:14" ht="18" customHeight="1" x14ac:dyDescent="0.2">
      <c r="A66" s="18" t="s">
        <v>91</v>
      </c>
      <c r="B66" s="18" t="s">
        <v>92</v>
      </c>
      <c r="C66" s="16" t="s">
        <v>66</v>
      </c>
      <c r="D66" s="16" t="s">
        <v>66</v>
      </c>
      <c r="E66" s="2">
        <v>50</v>
      </c>
      <c r="F66" s="13">
        <v>3</v>
      </c>
      <c r="G66" s="2">
        <f t="shared" ref="G66:G74" si="34">E66*F66</f>
        <v>150</v>
      </c>
      <c r="H66" s="3"/>
      <c r="I66" s="3"/>
      <c r="J66" s="14">
        <f t="shared" ref="J66:J74" si="35">H66+I66</f>
        <v>0</v>
      </c>
      <c r="K66" s="3">
        <f t="shared" ref="K66:K74" si="36">F66-J66</f>
        <v>3</v>
      </c>
      <c r="L66" s="4">
        <f t="shared" ref="L66:L74" si="37">J66*E66</f>
        <v>0</v>
      </c>
      <c r="M66" s="4">
        <f t="shared" ref="M66:M74" si="38">G66-L66</f>
        <v>150</v>
      </c>
      <c r="N66" s="12" t="str">
        <f t="shared" ref="N66:N74" si="39">IF(M66&gt;0,"KEEP SELLING", "DO NOT SELL")</f>
        <v>KEEP SELLING</v>
      </c>
    </row>
    <row r="67" spans="1:14" ht="18" customHeight="1" x14ac:dyDescent="0.2">
      <c r="A67" s="18" t="s">
        <v>91</v>
      </c>
      <c r="B67" s="18" t="s">
        <v>92</v>
      </c>
      <c r="C67" s="16" t="s">
        <v>67</v>
      </c>
      <c r="D67" s="16" t="s">
        <v>67</v>
      </c>
      <c r="E67" s="2">
        <v>80</v>
      </c>
      <c r="F67" s="13">
        <v>2</v>
      </c>
      <c r="G67" s="2">
        <f t="shared" si="34"/>
        <v>160</v>
      </c>
      <c r="H67" s="3"/>
      <c r="I67" s="3"/>
      <c r="J67" s="14">
        <f t="shared" si="35"/>
        <v>0</v>
      </c>
      <c r="K67" s="3">
        <f t="shared" si="36"/>
        <v>2</v>
      </c>
      <c r="L67" s="4">
        <f t="shared" si="37"/>
        <v>0</v>
      </c>
      <c r="M67" s="4">
        <f t="shared" si="38"/>
        <v>160</v>
      </c>
      <c r="N67" s="12" t="str">
        <f t="shared" si="39"/>
        <v>KEEP SELLING</v>
      </c>
    </row>
    <row r="68" spans="1:14" ht="18" customHeight="1" x14ac:dyDescent="0.2">
      <c r="A68" s="18" t="s">
        <v>91</v>
      </c>
      <c r="B68" s="18" t="s">
        <v>92</v>
      </c>
      <c r="C68" s="16" t="s">
        <v>68</v>
      </c>
      <c r="D68" s="16" t="s">
        <v>68</v>
      </c>
      <c r="E68" s="2">
        <v>50</v>
      </c>
      <c r="F68" s="13">
        <v>1</v>
      </c>
      <c r="G68" s="2">
        <f t="shared" si="34"/>
        <v>50</v>
      </c>
      <c r="H68" s="3"/>
      <c r="I68" s="3"/>
      <c r="J68" s="14">
        <f t="shared" si="35"/>
        <v>0</v>
      </c>
      <c r="K68" s="3">
        <f t="shared" si="36"/>
        <v>1</v>
      </c>
      <c r="L68" s="4">
        <f t="shared" si="37"/>
        <v>0</v>
      </c>
      <c r="M68" s="4">
        <f t="shared" si="38"/>
        <v>50</v>
      </c>
      <c r="N68" s="12" t="str">
        <f t="shared" si="39"/>
        <v>KEEP SELLING</v>
      </c>
    </row>
    <row r="69" spans="1:14" ht="18" customHeight="1" x14ac:dyDescent="0.2">
      <c r="A69" s="18" t="s">
        <v>91</v>
      </c>
      <c r="B69" s="18" t="s">
        <v>92</v>
      </c>
      <c r="C69" s="16" t="s">
        <v>69</v>
      </c>
      <c r="D69" s="16" t="s">
        <v>69</v>
      </c>
      <c r="E69" s="2">
        <v>80</v>
      </c>
      <c r="F69" s="13">
        <v>3</v>
      </c>
      <c r="G69" s="2">
        <f t="shared" si="34"/>
        <v>240</v>
      </c>
      <c r="H69" s="3"/>
      <c r="I69" s="3"/>
      <c r="J69" s="14">
        <f t="shared" si="35"/>
        <v>0</v>
      </c>
      <c r="K69" s="3">
        <f t="shared" si="36"/>
        <v>3</v>
      </c>
      <c r="L69" s="4">
        <f t="shared" si="37"/>
        <v>0</v>
      </c>
      <c r="M69" s="4">
        <f t="shared" si="38"/>
        <v>240</v>
      </c>
      <c r="N69" s="12" t="str">
        <f t="shared" si="39"/>
        <v>KEEP SELLING</v>
      </c>
    </row>
    <row r="70" spans="1:14" ht="18" customHeight="1" x14ac:dyDescent="0.2">
      <c r="A70" s="18" t="s">
        <v>91</v>
      </c>
      <c r="B70" s="18" t="s">
        <v>92</v>
      </c>
      <c r="C70" s="16" t="s">
        <v>70</v>
      </c>
      <c r="D70" s="16" t="s">
        <v>70</v>
      </c>
      <c r="E70" s="2">
        <v>50</v>
      </c>
      <c r="F70" s="13">
        <v>4</v>
      </c>
      <c r="G70" s="2">
        <f t="shared" si="34"/>
        <v>200</v>
      </c>
      <c r="H70" s="3"/>
      <c r="I70" s="3"/>
      <c r="J70" s="14">
        <f t="shared" si="35"/>
        <v>0</v>
      </c>
      <c r="K70" s="3">
        <f t="shared" si="36"/>
        <v>4</v>
      </c>
      <c r="L70" s="4">
        <f t="shared" si="37"/>
        <v>0</v>
      </c>
      <c r="M70" s="4">
        <f t="shared" si="38"/>
        <v>200</v>
      </c>
      <c r="N70" s="12" t="str">
        <f t="shared" si="39"/>
        <v>KEEP SELLING</v>
      </c>
    </row>
    <row r="71" spans="1:14" ht="18" customHeight="1" x14ac:dyDescent="0.2">
      <c r="A71" s="18" t="s">
        <v>91</v>
      </c>
      <c r="B71" s="18" t="s">
        <v>92</v>
      </c>
      <c r="C71" s="16" t="s">
        <v>71</v>
      </c>
      <c r="D71" s="16" t="s">
        <v>71</v>
      </c>
      <c r="E71" s="2">
        <v>80</v>
      </c>
      <c r="F71" s="13">
        <v>8</v>
      </c>
      <c r="G71" s="2">
        <f t="shared" si="34"/>
        <v>640</v>
      </c>
      <c r="H71" s="3"/>
      <c r="I71" s="3"/>
      <c r="J71" s="14">
        <f t="shared" si="35"/>
        <v>0</v>
      </c>
      <c r="K71" s="3">
        <f t="shared" si="36"/>
        <v>8</v>
      </c>
      <c r="L71" s="4">
        <f t="shared" si="37"/>
        <v>0</v>
      </c>
      <c r="M71" s="4">
        <f t="shared" si="38"/>
        <v>640</v>
      </c>
      <c r="N71" s="12" t="str">
        <f t="shared" si="39"/>
        <v>KEEP SELLING</v>
      </c>
    </row>
    <row r="72" spans="1:14" ht="18" customHeight="1" x14ac:dyDescent="0.2">
      <c r="A72" s="18" t="s">
        <v>91</v>
      </c>
      <c r="B72" s="18" t="s">
        <v>92</v>
      </c>
      <c r="C72" s="16" t="s">
        <v>72</v>
      </c>
      <c r="D72" s="16" t="s">
        <v>72</v>
      </c>
      <c r="E72" s="2">
        <v>50</v>
      </c>
      <c r="F72" s="13">
        <v>1</v>
      </c>
      <c r="G72" s="2">
        <f t="shared" si="34"/>
        <v>50</v>
      </c>
      <c r="H72" s="3"/>
      <c r="I72" s="3"/>
      <c r="J72" s="14">
        <f t="shared" si="35"/>
        <v>0</v>
      </c>
      <c r="K72" s="3">
        <f t="shared" si="36"/>
        <v>1</v>
      </c>
      <c r="L72" s="4">
        <f t="shared" si="37"/>
        <v>0</v>
      </c>
      <c r="M72" s="4">
        <f t="shared" si="38"/>
        <v>50</v>
      </c>
      <c r="N72" s="12" t="str">
        <f t="shared" si="39"/>
        <v>KEEP SELLING</v>
      </c>
    </row>
    <row r="73" spans="1:14" ht="18" customHeight="1" x14ac:dyDescent="0.2">
      <c r="A73" s="18" t="s">
        <v>91</v>
      </c>
      <c r="B73" s="18" t="s">
        <v>92</v>
      </c>
      <c r="C73" s="16" t="s">
        <v>73</v>
      </c>
      <c r="D73" s="16" t="s">
        <v>73</v>
      </c>
      <c r="E73" s="2">
        <v>50</v>
      </c>
      <c r="F73" s="13">
        <v>3</v>
      </c>
      <c r="G73" s="2">
        <f t="shared" si="34"/>
        <v>150</v>
      </c>
      <c r="H73" s="3"/>
      <c r="I73" s="3"/>
      <c r="J73" s="14">
        <f t="shared" si="35"/>
        <v>0</v>
      </c>
      <c r="K73" s="3">
        <f t="shared" si="36"/>
        <v>3</v>
      </c>
      <c r="L73" s="4">
        <f t="shared" si="37"/>
        <v>0</v>
      </c>
      <c r="M73" s="4">
        <f t="shared" si="38"/>
        <v>150</v>
      </c>
      <c r="N73" s="12" t="str">
        <f t="shared" si="39"/>
        <v>KEEP SELLING</v>
      </c>
    </row>
    <row r="74" spans="1:14" ht="18" customHeight="1" x14ac:dyDescent="0.2">
      <c r="A74" s="18" t="s">
        <v>91</v>
      </c>
      <c r="B74" s="18" t="s">
        <v>92</v>
      </c>
      <c r="C74" s="16" t="s">
        <v>74</v>
      </c>
      <c r="D74" s="16" t="s">
        <v>74</v>
      </c>
      <c r="E74" s="2">
        <v>80</v>
      </c>
      <c r="F74" s="13">
        <v>4</v>
      </c>
      <c r="G74" s="2">
        <f t="shared" si="34"/>
        <v>320</v>
      </c>
      <c r="H74" s="3"/>
      <c r="I74" s="3"/>
      <c r="J74" s="14">
        <f t="shared" si="35"/>
        <v>0</v>
      </c>
      <c r="K74" s="3">
        <f t="shared" si="36"/>
        <v>4</v>
      </c>
      <c r="L74" s="4">
        <f t="shared" si="37"/>
        <v>0</v>
      </c>
      <c r="M74" s="4">
        <f t="shared" si="38"/>
        <v>320</v>
      </c>
      <c r="N74" s="12" t="str">
        <f t="shared" si="39"/>
        <v>KEEP SELLING</v>
      </c>
    </row>
    <row r="75" spans="1:14" ht="18" customHeight="1" x14ac:dyDescent="0.2">
      <c r="A75" s="18" t="s">
        <v>91</v>
      </c>
      <c r="B75" s="18" t="s">
        <v>92</v>
      </c>
      <c r="C75" s="16" t="s">
        <v>75</v>
      </c>
      <c r="D75" s="16" t="s">
        <v>75</v>
      </c>
      <c r="E75" s="2">
        <v>50</v>
      </c>
      <c r="F75" s="13">
        <v>4</v>
      </c>
      <c r="G75" s="2">
        <f t="shared" ref="G75:G76" si="40">E75*F75</f>
        <v>200</v>
      </c>
      <c r="H75" s="3"/>
      <c r="I75" s="3"/>
      <c r="J75" s="14">
        <f t="shared" ref="J75:J76" si="41">H75+I75</f>
        <v>0</v>
      </c>
      <c r="K75" s="3">
        <f t="shared" ref="K75:K76" si="42">F75-J75</f>
        <v>4</v>
      </c>
      <c r="L75" s="4">
        <f t="shared" ref="L75:L76" si="43">J75*E75</f>
        <v>0</v>
      </c>
      <c r="M75" s="4">
        <f t="shared" ref="M75:M76" si="44">G75-L75</f>
        <v>200</v>
      </c>
      <c r="N75" s="12" t="str">
        <f t="shared" ref="N75:N76" si="45">IF(M75&gt;0,"KEEP SELLING", "DO NOT SELL")</f>
        <v>KEEP SELLING</v>
      </c>
    </row>
    <row r="76" spans="1:14" ht="18" customHeight="1" x14ac:dyDescent="0.2">
      <c r="A76" s="18" t="s">
        <v>91</v>
      </c>
      <c r="B76" s="18" t="s">
        <v>92</v>
      </c>
      <c r="C76" s="16" t="s">
        <v>76</v>
      </c>
      <c r="D76" s="16" t="s">
        <v>76</v>
      </c>
      <c r="E76" s="2">
        <v>80</v>
      </c>
      <c r="F76" s="13">
        <v>3</v>
      </c>
      <c r="G76" s="2">
        <f t="shared" si="40"/>
        <v>240</v>
      </c>
      <c r="H76" s="3"/>
      <c r="I76" s="3"/>
      <c r="J76" s="14">
        <f t="shared" si="41"/>
        <v>0</v>
      </c>
      <c r="K76" s="3">
        <f t="shared" si="42"/>
        <v>3</v>
      </c>
      <c r="L76" s="4">
        <f t="shared" si="43"/>
        <v>0</v>
      </c>
      <c r="M76" s="4">
        <f t="shared" si="44"/>
        <v>240</v>
      </c>
      <c r="N76" s="12" t="str">
        <f t="shared" si="45"/>
        <v>KEEP SELLING</v>
      </c>
    </row>
  </sheetData>
  <conditionalFormatting sqref="H2:N76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2026-03-24T18:20:40Z</dcterms:modified>
  <cp:category/>
  <cp:contentStatus/>
</cp:coreProperties>
</file>