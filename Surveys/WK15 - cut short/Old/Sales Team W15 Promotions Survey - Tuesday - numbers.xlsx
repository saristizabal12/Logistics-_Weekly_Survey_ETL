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\"/>
    </mc:Choice>
  </mc:AlternateContent>
  <xr:revisionPtr revIDLastSave="0" documentId="13_ncr:1_{624C9D96-B68A-4744-B526-ADBFD58523CA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With inventory + RTF" sheetId="16" r:id="rId1"/>
  </sheets>
  <definedNames>
    <definedName name="_xlnm._FilterDatabase" localSheetId="0" hidden="1">'With inventory + RTF'!$A$1:$T$43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16" l="1"/>
  <c r="L43" i="16" s="1"/>
  <c r="J42" i="16"/>
  <c r="L42" i="16" s="1"/>
  <c r="J41" i="16"/>
  <c r="J40" i="16"/>
  <c r="L40" i="16" s="1"/>
  <c r="J39" i="16"/>
  <c r="K39" i="16" s="1"/>
  <c r="J38" i="16"/>
  <c r="L38" i="16" s="1"/>
  <c r="J37" i="16"/>
  <c r="L37" i="16" s="1"/>
  <c r="J36" i="16"/>
  <c r="L36" i="16" s="1"/>
  <c r="J35" i="16"/>
  <c r="L35" i="16" s="1"/>
  <c r="J34" i="16"/>
  <c r="L34" i="16" s="1"/>
  <c r="J33" i="16"/>
  <c r="L33" i="16" s="1"/>
  <c r="J32" i="16"/>
  <c r="L32" i="16" s="1"/>
  <c r="J31" i="16"/>
  <c r="K31" i="16" s="1"/>
  <c r="J30" i="16"/>
  <c r="K30" i="16" s="1"/>
  <c r="J29" i="16"/>
  <c r="L29" i="16" s="1"/>
  <c r="J28" i="16"/>
  <c r="L28" i="16" s="1"/>
  <c r="J27" i="16"/>
  <c r="K27" i="16" s="1"/>
  <c r="J26" i="16"/>
  <c r="K26" i="16" s="1"/>
  <c r="J25" i="16"/>
  <c r="K25" i="16" s="1"/>
  <c r="J24" i="16"/>
  <c r="L24" i="16" s="1"/>
  <c r="J23" i="16"/>
  <c r="K23" i="16" s="1"/>
  <c r="J22" i="16"/>
  <c r="K22" i="16" s="1"/>
  <c r="J21" i="16"/>
  <c r="K21" i="16" s="1"/>
  <c r="J20" i="16"/>
  <c r="L20" i="16" s="1"/>
  <c r="J19" i="16"/>
  <c r="L19" i="16" s="1"/>
  <c r="J18" i="16"/>
  <c r="K18" i="16" s="1"/>
  <c r="J17" i="16"/>
  <c r="L17" i="16" s="1"/>
  <c r="J16" i="16"/>
  <c r="L16" i="16" s="1"/>
  <c r="J15" i="16"/>
  <c r="K15" i="16" s="1"/>
  <c r="J14" i="16"/>
  <c r="K14" i="16" s="1"/>
  <c r="J13" i="16"/>
  <c r="L13" i="16" s="1"/>
  <c r="J12" i="16"/>
  <c r="K12" i="16" s="1"/>
  <c r="J11" i="16"/>
  <c r="K11" i="16" s="1"/>
  <c r="J10" i="16"/>
  <c r="K10" i="16" s="1"/>
  <c r="J9" i="16"/>
  <c r="L9" i="16" s="1"/>
  <c r="J8" i="16"/>
  <c r="L8" i="16" s="1"/>
  <c r="J7" i="16"/>
  <c r="L7" i="16" s="1"/>
  <c r="J6" i="16"/>
  <c r="L6" i="16" s="1"/>
  <c r="J5" i="16"/>
  <c r="K5" i="16" s="1"/>
  <c r="J4" i="16"/>
  <c r="L4" i="16" s="1"/>
  <c r="J3" i="16"/>
  <c r="L3" i="16" s="1"/>
  <c r="J2" i="16"/>
  <c r="K2" i="16" s="1"/>
  <c r="L41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M13" i="16" l="1"/>
  <c r="N13" i="16" s="1"/>
  <c r="L22" i="16"/>
  <c r="P3" i="16"/>
  <c r="L30" i="16"/>
  <c r="M30" i="16" s="1"/>
  <c r="N30" i="16" s="1"/>
  <c r="M9" i="16"/>
  <c r="N9" i="16" s="1"/>
  <c r="M36" i="16"/>
  <c r="N36" i="16" s="1"/>
  <c r="M29" i="16"/>
  <c r="N29" i="16" s="1"/>
  <c r="L14" i="16"/>
  <c r="M14" i="16" s="1"/>
  <c r="N14" i="16" s="1"/>
  <c r="M19" i="16"/>
  <c r="N19" i="16" s="1"/>
  <c r="K38" i="16"/>
  <c r="L26" i="16"/>
  <c r="M26" i="16" s="1"/>
  <c r="N26" i="16" s="1"/>
  <c r="M6" i="16"/>
  <c r="N6" i="16" s="1"/>
  <c r="M17" i="16"/>
  <c r="N17" i="16" s="1"/>
  <c r="L5" i="16"/>
  <c r="M5" i="16" s="1"/>
  <c r="N5" i="16" s="1"/>
  <c r="P2" i="16"/>
  <c r="L12" i="16"/>
  <c r="M12" i="16" s="1"/>
  <c r="N12" i="16" s="1"/>
  <c r="P6" i="16"/>
  <c r="L10" i="16"/>
  <c r="M10" i="16" s="1"/>
  <c r="N10" i="16" s="1"/>
  <c r="K33" i="16"/>
  <c r="L18" i="16"/>
  <c r="M18" i="16" s="1"/>
  <c r="N18" i="16" s="1"/>
  <c r="M42" i="16"/>
  <c r="N42" i="16" s="1"/>
  <c r="K35" i="16"/>
  <c r="K42" i="16"/>
  <c r="Q7" i="16"/>
  <c r="M32" i="16"/>
  <c r="N32" i="16" s="1"/>
  <c r="P5" i="16"/>
  <c r="L39" i="16"/>
  <c r="M39" i="16" s="1"/>
  <c r="N39" i="16" s="1"/>
  <c r="M24" i="16"/>
  <c r="N24" i="16" s="1"/>
  <c r="K8" i="16"/>
  <c r="K16" i="16"/>
  <c r="K20" i="16"/>
  <c r="K24" i="16"/>
  <c r="K28" i="16"/>
  <c r="K32" i="16"/>
  <c r="K36" i="16"/>
  <c r="M40" i="16"/>
  <c r="N40" i="16" s="1"/>
  <c r="K43" i="16"/>
  <c r="M20" i="16"/>
  <c r="N20" i="16" s="1"/>
  <c r="M37" i="16"/>
  <c r="N37" i="16" s="1"/>
  <c r="K4" i="16"/>
  <c r="M28" i="16"/>
  <c r="N28" i="16" s="1"/>
  <c r="P4" i="16"/>
  <c r="K40" i="16"/>
  <c r="M16" i="16"/>
  <c r="N16" i="16" s="1"/>
  <c r="K37" i="16"/>
  <c r="M41" i="16"/>
  <c r="N41" i="16" s="1"/>
  <c r="K7" i="16"/>
  <c r="M8" i="16"/>
  <c r="N8" i="16" s="1"/>
  <c r="M43" i="16"/>
  <c r="N43" i="16" s="1"/>
  <c r="M22" i="16"/>
  <c r="N22" i="16" s="1"/>
  <c r="M4" i="16"/>
  <c r="N4" i="16" s="1"/>
  <c r="M3" i="16"/>
  <c r="N3" i="16" s="1"/>
  <c r="K34" i="16"/>
  <c r="M38" i="16"/>
  <c r="N38" i="16" s="1"/>
  <c r="K41" i="16"/>
  <c r="M7" i="16"/>
  <c r="N7" i="16" s="1"/>
  <c r="M35" i="16"/>
  <c r="N35" i="16" s="1"/>
  <c r="M34" i="16"/>
  <c r="N34" i="16" s="1"/>
  <c r="M33" i="16"/>
  <c r="N33" i="16" s="1"/>
  <c r="K13" i="16"/>
  <c r="K19" i="16"/>
  <c r="K29" i="16"/>
  <c r="L11" i="16"/>
  <c r="M11" i="16" s="1"/>
  <c r="N11" i="16" s="1"/>
  <c r="L15" i="16"/>
  <c r="M15" i="16" s="1"/>
  <c r="N15" i="16" s="1"/>
  <c r="L21" i="16"/>
  <c r="M21" i="16" s="1"/>
  <c r="N21" i="16" s="1"/>
  <c r="L23" i="16"/>
  <c r="M23" i="16" s="1"/>
  <c r="N23" i="16" s="1"/>
  <c r="L25" i="16"/>
  <c r="M25" i="16" s="1"/>
  <c r="N25" i="16" s="1"/>
  <c r="L27" i="16"/>
  <c r="M27" i="16" s="1"/>
  <c r="N27" i="16" s="1"/>
  <c r="L31" i="16"/>
  <c r="Q3" i="16" s="1"/>
  <c r="S2" i="16" s="1"/>
  <c r="K9" i="16"/>
  <c r="L2" i="16"/>
  <c r="P7" i="16"/>
  <c r="K17" i="16"/>
  <c r="K3" i="16"/>
  <c r="K6" i="16"/>
  <c r="Q5" i="16" l="1"/>
  <c r="T2" i="16" s="1"/>
  <c r="Q6" i="16"/>
  <c r="Q4" i="16"/>
  <c r="Q2" i="16"/>
  <c r="R2" i="16" s="1"/>
  <c r="M31" i="16"/>
  <c r="N31" i="16" s="1"/>
  <c r="M2" i="16"/>
  <c r="N2" i="16" s="1"/>
</calcChain>
</file>

<file path=xl/sharedStrings.xml><?xml version="1.0" encoding="utf-8"?>
<sst xmlns="http://schemas.openxmlformats.org/spreadsheetml/2006/main" count="185" uniqueCount="56">
  <si>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</si>
  <si>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</si>
  <si>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</si>
  <si>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</si>
  <si>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</si>
  <si>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</si>
  <si>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</si>
  <si>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</si>
  <si>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</si>
  <si>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</si>
  <si>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</si>
  <si>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</si>
  <si>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</si>
  <si>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</si>
  <si>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</si>
  <si>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</si>
  <si>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</si>
  <si>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</si>
  <si>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</si>
  <si>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</si>
  <si>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</si>
  <si>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</si>
  <si>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</si>
  <si>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</si>
  <si>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</si>
  <si>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</si>
  <si>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</si>
  <si>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</si>
  <si>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</si>
  <si>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</si>
  <si>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</si>
  <si>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</si>
  <si>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</si>
  <si>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</si>
  <si>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</si>
  <si>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</si>
  <si>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</si>
  <si>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</si>
  <si>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</si>
  <si>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</si>
  <si>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</si>
  <si>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</si>
  <si>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</si>
  <si>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</si>
  <si>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</si>
  <si>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A0S3A0A260000363</t>
  </si>
  <si>
    <t>VITEL W13-W15 AR Special Market Sell-Thru Promotion</t>
  </si>
  <si>
    <t>SM-X620NZAAL15</t>
  </si>
  <si>
    <t>A0S3A0A260000325</t>
  </si>
  <si>
    <t>VITEL W13-W15 CDE Special Market Sell-Thru Promotion</t>
  </si>
  <si>
    <t>A0S3A0A260000359</t>
  </si>
  <si>
    <t>VITEL W13-W15 VE Special Market Sell-Thru Promotion</t>
  </si>
  <si>
    <t>0363</t>
  </si>
  <si>
    <t>0325</t>
  </si>
  <si>
    <t>0359</t>
  </si>
  <si>
    <t>SM-X520NZAAL15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</si>
</sst>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625B-F9FD-4B82-8B77-32C2AFB5E365}">
  <dimension ref="A1:T43"/>
  <sheetViews>
    <sheetView showGridLines="0" tabSelected="1" zoomScale="70" zoomScaleNormal="70" workbookViewId="0">
      <selection activeCell="G11" sqref="G11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8" width="12" bestFit="1" customWidth="1"/>
    <col min="19" max="19" width="11" bestFit="1" customWidth="1"/>
    <col min="20" max="20" width="11.710937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52</v>
      </c>
      <c r="S1" s="15" t="s">
        <v>53</v>
      </c>
      <c r="T1" s="15" t="s">
        <v>54</v>
      </c>
    </row>
    <row r="2" spans="1:20" ht="18" customHeight="1" x14ac:dyDescent="0.2">
      <c r="A2" s="18" t="s">
        <v>45</v>
      </c>
      <c r="B2" s="18" t="s">
        <v>46</v>
      </c>
      <c r="C2" s="16" t="s">
        <v>13</v>
      </c>
      <c r="D2" s="16" t="s">
        <v>13</v>
      </c>
      <c r="E2" s="2">
        <v>5</v>
      </c>
      <c r="F2" s="13">
        <v>407</v>
      </c>
      <c r="G2" s="2">
        <f t="shared" ref="G2:G43" si="0">E2*F2</f>
        <v>2035</v>
      </c>
      <c r="H2" s="3"/>
      <c r="I2" s="3"/>
      <c r="J2" s="14">
        <f t="shared" ref="J2:J43" si="1">H2+I2</f>
        <v>0</v>
      </c>
      <c r="K2" s="3">
        <f t="shared" ref="K2:K43" si="2">F2-J2</f>
        <v>407</v>
      </c>
      <c r="L2" s="4">
        <f t="shared" ref="L2:L43" si="3">J2*E2</f>
        <v>0</v>
      </c>
      <c r="M2" s="4">
        <f t="shared" ref="M2:M43" si="4">G2-L2</f>
        <v>2035</v>
      </c>
      <c r="N2" s="12" t="str">
        <f t="shared" ref="N2:N43" si="5">IF(M2&gt;0,"KEEP SELLING", "DO NOT SELL")</f>
        <v>KEEP SELLING</v>
      </c>
      <c r="P2" s="10">
        <f>SUM(G2:G29)</f>
        <v>11602</v>
      </c>
      <c r="Q2" s="9">
        <f>SUM(L2:L29)</f>
        <v>23570</v>
      </c>
      <c r="R2" s="11">
        <f>P2-Q2</f>
        <v>-11968</v>
      </c>
      <c r="S2" s="11">
        <f>P3-Q3</f>
        <v>-5050</v>
      </c>
      <c r="T2" s="11">
        <f>P5-Q5</f>
        <v>1145</v>
      </c>
    </row>
    <row r="3" spans="1:20" ht="18" customHeight="1" x14ac:dyDescent="0.2">
      <c r="A3" s="18" t="s">
        <v>45</v>
      </c>
      <c r="B3" s="18" t="s">
        <v>46</v>
      </c>
      <c r="C3" s="16" t="s">
        <v>14</v>
      </c>
      <c r="D3" s="16" t="s">
        <v>14</v>
      </c>
      <c r="E3" s="2">
        <v>5</v>
      </c>
      <c r="F3" s="13">
        <v>64</v>
      </c>
      <c r="G3" s="2">
        <f t="shared" si="0"/>
        <v>320</v>
      </c>
      <c r="H3" s="3"/>
      <c r="I3" s="3"/>
      <c r="J3" s="14">
        <f t="shared" si="1"/>
        <v>0</v>
      </c>
      <c r="K3" s="3">
        <f t="shared" si="2"/>
        <v>64</v>
      </c>
      <c r="L3" s="4">
        <f t="shared" si="3"/>
        <v>0</v>
      </c>
      <c r="M3" s="4">
        <f t="shared" si="4"/>
        <v>320</v>
      </c>
      <c r="N3" s="12" t="str">
        <f t="shared" si="5"/>
        <v>KEEP SELLING</v>
      </c>
      <c r="P3" s="10">
        <f>SUM(G30:G32)</f>
        <v>4790</v>
      </c>
      <c r="Q3" s="9">
        <f>SUM(L30:L32)</f>
        <v>9840</v>
      </c>
    </row>
    <row r="4" spans="1:20" ht="18" customHeight="1" x14ac:dyDescent="0.2">
      <c r="A4" s="18" t="s">
        <v>45</v>
      </c>
      <c r="B4" s="18" t="s">
        <v>46</v>
      </c>
      <c r="C4" s="16" t="s">
        <v>15</v>
      </c>
      <c r="D4" s="16" t="s">
        <v>15</v>
      </c>
      <c r="E4" s="2">
        <v>2</v>
      </c>
      <c r="F4" s="13">
        <v>177</v>
      </c>
      <c r="G4" s="2">
        <f t="shared" si="0"/>
        <v>354</v>
      </c>
      <c r="H4" s="3"/>
      <c r="I4" s="3">
        <v>50</v>
      </c>
      <c r="J4" s="14">
        <f t="shared" si="1"/>
        <v>50</v>
      </c>
      <c r="K4" s="3">
        <f t="shared" si="2"/>
        <v>127</v>
      </c>
      <c r="L4" s="4">
        <f t="shared" si="3"/>
        <v>100</v>
      </c>
      <c r="M4" s="4">
        <f t="shared" si="4"/>
        <v>254</v>
      </c>
      <c r="N4" s="12" t="str">
        <f t="shared" si="5"/>
        <v>KEEP SELLING</v>
      </c>
      <c r="P4" s="10" t="e">
        <f>SUM(#REF!)</f>
        <v>#REF!</v>
      </c>
      <c r="Q4" s="9" t="e">
        <f>SUM(#REF!)</f>
        <v>#REF!</v>
      </c>
    </row>
    <row r="5" spans="1:20" ht="18" customHeight="1" x14ac:dyDescent="0.2">
      <c r="A5" s="18" t="s">
        <v>45</v>
      </c>
      <c r="B5" s="18" t="s">
        <v>46</v>
      </c>
      <c r="C5" s="16" t="s">
        <v>16</v>
      </c>
      <c r="D5" s="16" t="s">
        <v>16</v>
      </c>
      <c r="E5" s="2">
        <v>5</v>
      </c>
      <c r="F5" s="13">
        <v>105</v>
      </c>
      <c r="G5" s="2">
        <f t="shared" si="0"/>
        <v>525</v>
      </c>
      <c r="H5" s="3">
        <v>15</v>
      </c>
      <c r="I5" s="3">
        <v>697</v>
      </c>
      <c r="J5" s="14">
        <f t="shared" si="1"/>
        <v>712</v>
      </c>
      <c r="K5" s="3">
        <f t="shared" si="2"/>
        <v>-607</v>
      </c>
      <c r="L5" s="4">
        <f t="shared" si="3"/>
        <v>3560</v>
      </c>
      <c r="M5" s="4">
        <f t="shared" si="4"/>
        <v>-3035</v>
      </c>
      <c r="N5" s="12" t="str">
        <f t="shared" si="5"/>
        <v>DO NOT SELL</v>
      </c>
      <c r="P5" s="10">
        <f>SUM(G33:G43)</f>
        <v>20346</v>
      </c>
      <c r="Q5" s="9">
        <f>SUM(L33:L43)</f>
        <v>19201</v>
      </c>
    </row>
    <row r="6" spans="1:20" ht="18" customHeight="1" x14ac:dyDescent="0.2">
      <c r="A6" s="18" t="s">
        <v>45</v>
      </c>
      <c r="B6" s="18" t="s">
        <v>46</v>
      </c>
      <c r="C6" s="16" t="s">
        <v>24</v>
      </c>
      <c r="D6" s="16" t="s">
        <v>24</v>
      </c>
      <c r="E6" s="2">
        <v>4</v>
      </c>
      <c r="F6" s="13">
        <v>2</v>
      </c>
      <c r="G6" s="2">
        <f t="shared" si="0"/>
        <v>8</v>
      </c>
      <c r="H6" s="3"/>
      <c r="I6" s="3"/>
      <c r="J6" s="14">
        <f t="shared" si="1"/>
        <v>0</v>
      </c>
      <c r="K6" s="3">
        <f t="shared" si="2"/>
        <v>2</v>
      </c>
      <c r="L6" s="4">
        <f t="shared" si="3"/>
        <v>0</v>
      </c>
      <c r="M6" s="4">
        <f t="shared" si="4"/>
        <v>8</v>
      </c>
      <c r="N6" s="12" t="str">
        <f t="shared" si="5"/>
        <v>KEEP SELLING</v>
      </c>
      <c r="P6" s="10" t="e">
        <f>SUM(#REF!)</f>
        <v>#REF!</v>
      </c>
      <c r="Q6" s="9" t="e">
        <f>SUM(#REF!)</f>
        <v>#REF!</v>
      </c>
    </row>
    <row r="7" spans="1:20" ht="18" customHeight="1" x14ac:dyDescent="0.2">
      <c r="A7" s="18" t="s">
        <v>45</v>
      </c>
      <c r="B7" s="18" t="s">
        <v>46</v>
      </c>
      <c r="C7" s="16" t="s">
        <v>23</v>
      </c>
      <c r="D7" s="16" t="s">
        <v>23</v>
      </c>
      <c r="E7" s="2">
        <v>30</v>
      </c>
      <c r="F7" s="13">
        <v>34</v>
      </c>
      <c r="G7" s="2">
        <f t="shared" si="0"/>
        <v>1020</v>
      </c>
      <c r="H7" s="3">
        <v>10</v>
      </c>
      <c r="I7" s="3">
        <v>115</v>
      </c>
      <c r="J7" s="14">
        <f t="shared" si="1"/>
        <v>125</v>
      </c>
      <c r="K7" s="3">
        <f t="shared" si="2"/>
        <v>-91</v>
      </c>
      <c r="L7" s="4">
        <f t="shared" si="3"/>
        <v>3750</v>
      </c>
      <c r="M7" s="4">
        <f t="shared" si="4"/>
        <v>-2730</v>
      </c>
      <c r="N7" s="12" t="str">
        <f t="shared" si="5"/>
        <v>DO NOT SELL</v>
      </c>
      <c r="P7" s="10" t="e">
        <f>SUM(#REF!)</f>
        <v>#REF!</v>
      </c>
      <c r="Q7" s="9" t="e">
        <f>SUM(#REF!)</f>
        <v>#REF!</v>
      </c>
    </row>
    <row r="8" spans="1:20" ht="18" customHeight="1" x14ac:dyDescent="0.2">
      <c r="A8" s="18" t="s">
        <v>45</v>
      </c>
      <c r="B8" s="18" t="s">
        <v>46</v>
      </c>
      <c r="C8" s="16" t="s">
        <v>22</v>
      </c>
      <c r="D8" s="16" t="s">
        <v>22</v>
      </c>
      <c r="E8" s="2">
        <v>80</v>
      </c>
      <c r="F8" s="13">
        <v>81</v>
      </c>
      <c r="G8" s="2">
        <f t="shared" si="0"/>
        <v>6480</v>
      </c>
      <c r="H8" s="3">
        <v>10</v>
      </c>
      <c r="I8" s="3">
        <v>179</v>
      </c>
      <c r="J8" s="14">
        <f t="shared" si="1"/>
        <v>189</v>
      </c>
      <c r="K8" s="3">
        <f t="shared" si="2"/>
        <v>-108</v>
      </c>
      <c r="L8" s="4">
        <f t="shared" si="3"/>
        <v>15120</v>
      </c>
      <c r="M8" s="4">
        <f t="shared" si="4"/>
        <v>-8640</v>
      </c>
      <c r="N8" s="12" t="str">
        <f t="shared" si="5"/>
        <v>DO NOT SELL</v>
      </c>
    </row>
    <row r="9" spans="1:20" ht="18" customHeight="1" x14ac:dyDescent="0.2">
      <c r="A9" s="18" t="s">
        <v>45</v>
      </c>
      <c r="B9" s="18" t="s">
        <v>46</v>
      </c>
      <c r="C9" s="16" t="s">
        <v>25</v>
      </c>
      <c r="D9" s="16" t="s">
        <v>25</v>
      </c>
      <c r="E9" s="2">
        <v>10</v>
      </c>
      <c r="F9" s="13">
        <v>12</v>
      </c>
      <c r="G9" s="2">
        <f t="shared" si="0"/>
        <v>120</v>
      </c>
      <c r="H9" s="3"/>
      <c r="I9" s="3"/>
      <c r="J9" s="14">
        <f t="shared" si="1"/>
        <v>0</v>
      </c>
      <c r="K9" s="3">
        <f t="shared" si="2"/>
        <v>12</v>
      </c>
      <c r="L9" s="4">
        <f t="shared" si="3"/>
        <v>0</v>
      </c>
      <c r="M9" s="4">
        <f t="shared" si="4"/>
        <v>120</v>
      </c>
      <c r="N9" s="12" t="str">
        <f t="shared" si="5"/>
        <v>KEEP SELLING</v>
      </c>
    </row>
    <row r="10" spans="1:20" ht="18" customHeight="1" x14ac:dyDescent="0.2">
      <c r="A10" s="18" t="s">
        <v>45</v>
      </c>
      <c r="B10" s="18" t="s">
        <v>46</v>
      </c>
      <c r="C10" s="16" t="s">
        <v>26</v>
      </c>
      <c r="D10" s="18" t="s">
        <v>26</v>
      </c>
      <c r="E10" s="2">
        <v>10</v>
      </c>
      <c r="F10" s="13">
        <v>2</v>
      </c>
      <c r="G10" s="2">
        <f t="shared" si="0"/>
        <v>20</v>
      </c>
      <c r="H10" s="3"/>
      <c r="I10" s="3">
        <v>50</v>
      </c>
      <c r="J10" s="14">
        <f t="shared" si="1"/>
        <v>50</v>
      </c>
      <c r="K10" s="3">
        <f t="shared" si="2"/>
        <v>-48</v>
      </c>
      <c r="L10" s="4">
        <f t="shared" si="3"/>
        <v>500</v>
      </c>
      <c r="M10" s="4">
        <f t="shared" si="4"/>
        <v>-480</v>
      </c>
      <c r="N10" s="12" t="str">
        <f t="shared" si="5"/>
        <v>DO NOT SELL</v>
      </c>
    </row>
    <row r="11" spans="1:20" ht="18" customHeight="1" x14ac:dyDescent="0.2">
      <c r="A11" s="18" t="s">
        <v>45</v>
      </c>
      <c r="B11" s="18" t="s">
        <v>46</v>
      </c>
      <c r="C11" s="16" t="s">
        <v>27</v>
      </c>
      <c r="D11" s="16" t="s">
        <v>27</v>
      </c>
      <c r="E11" s="2">
        <v>10</v>
      </c>
      <c r="F11" s="13">
        <v>2</v>
      </c>
      <c r="G11" s="2">
        <f t="shared" si="0"/>
        <v>20</v>
      </c>
      <c r="H11" s="3"/>
      <c r="I11" s="3"/>
      <c r="J11" s="14">
        <f t="shared" si="1"/>
        <v>0</v>
      </c>
      <c r="K11" s="3">
        <f t="shared" si="2"/>
        <v>2</v>
      </c>
      <c r="L11" s="4">
        <f t="shared" si="3"/>
        <v>0</v>
      </c>
      <c r="M11" s="4">
        <f t="shared" si="4"/>
        <v>20</v>
      </c>
      <c r="N11" s="12" t="str">
        <f t="shared" si="5"/>
        <v>KEEP SELLING</v>
      </c>
    </row>
    <row r="12" spans="1:20" ht="18" customHeight="1" x14ac:dyDescent="0.2">
      <c r="A12" s="18" t="s">
        <v>45</v>
      </c>
      <c r="B12" s="18" t="s">
        <v>46</v>
      </c>
      <c r="C12" s="18" t="s">
        <v>55</v>
      </c>
      <c r="D12" s="18" t="s">
        <v>55</v>
      </c>
      <c r="E12" s="2">
        <v>10</v>
      </c>
      <c r="F12" s="13">
        <v>31</v>
      </c>
      <c r="G12" s="2">
        <f t="shared" si="0"/>
        <v>310</v>
      </c>
      <c r="H12" s="3">
        <v>4</v>
      </c>
      <c r="I12" s="3"/>
      <c r="J12" s="14">
        <f t="shared" si="1"/>
        <v>4</v>
      </c>
      <c r="K12" s="3">
        <f t="shared" si="2"/>
        <v>27</v>
      </c>
      <c r="L12" s="4">
        <f t="shared" si="3"/>
        <v>40</v>
      </c>
      <c r="M12" s="4">
        <f t="shared" si="4"/>
        <v>270</v>
      </c>
      <c r="N12" s="12" t="str">
        <f t="shared" si="5"/>
        <v>KEEP SELLING</v>
      </c>
    </row>
    <row r="13" spans="1:20" ht="18" customHeight="1" x14ac:dyDescent="0.2">
      <c r="A13" s="18" t="s">
        <v>45</v>
      </c>
      <c r="B13" s="18" t="s">
        <v>46</v>
      </c>
      <c r="C13" s="16" t="s">
        <v>28</v>
      </c>
      <c r="D13" s="16" t="s">
        <v>28</v>
      </c>
      <c r="E13" s="2">
        <v>10</v>
      </c>
      <c r="F13" s="13">
        <v>3</v>
      </c>
      <c r="G13" s="2">
        <f t="shared" si="0"/>
        <v>30</v>
      </c>
      <c r="H13" s="3"/>
      <c r="I13" s="3">
        <v>50</v>
      </c>
      <c r="J13" s="14">
        <f t="shared" si="1"/>
        <v>50</v>
      </c>
      <c r="K13" s="3">
        <f t="shared" si="2"/>
        <v>-47</v>
      </c>
      <c r="L13" s="4">
        <f t="shared" si="3"/>
        <v>500</v>
      </c>
      <c r="M13" s="4">
        <f t="shared" si="4"/>
        <v>-470</v>
      </c>
      <c r="N13" s="12" t="str">
        <f t="shared" si="5"/>
        <v>DO NOT SELL</v>
      </c>
    </row>
    <row r="14" spans="1:20" ht="18" customHeight="1" x14ac:dyDescent="0.2">
      <c r="A14" s="18" t="s">
        <v>45</v>
      </c>
      <c r="B14" s="18" t="s">
        <v>46</v>
      </c>
      <c r="C14" s="16" t="s">
        <v>29</v>
      </c>
      <c r="D14" s="16" t="s">
        <v>29</v>
      </c>
      <c r="E14" s="2">
        <v>10</v>
      </c>
      <c r="F14" s="13">
        <v>2</v>
      </c>
      <c r="G14" s="2">
        <f t="shared" si="0"/>
        <v>20</v>
      </c>
      <c r="H14" s="3"/>
      <c r="I14" s="3"/>
      <c r="J14" s="14">
        <f t="shared" si="1"/>
        <v>0</v>
      </c>
      <c r="K14" s="3">
        <f t="shared" si="2"/>
        <v>2</v>
      </c>
      <c r="L14" s="4">
        <f t="shared" si="3"/>
        <v>0</v>
      </c>
      <c r="M14" s="4">
        <f t="shared" si="4"/>
        <v>20</v>
      </c>
      <c r="N14" s="12" t="str">
        <f t="shared" si="5"/>
        <v>KEEP SELLING</v>
      </c>
    </row>
    <row r="15" spans="1:20" ht="18" customHeight="1" x14ac:dyDescent="0.2">
      <c r="A15" s="18" t="s">
        <v>45</v>
      </c>
      <c r="B15" s="18" t="s">
        <v>46</v>
      </c>
      <c r="C15" s="16" t="s">
        <v>30</v>
      </c>
      <c r="D15" s="16" t="s">
        <v>30</v>
      </c>
      <c r="E15" s="2">
        <v>10</v>
      </c>
      <c r="F15" s="13">
        <v>2</v>
      </c>
      <c r="G15" s="2">
        <f t="shared" si="0"/>
        <v>20</v>
      </c>
      <c r="H15" s="3"/>
      <c r="I15" s="3"/>
      <c r="J15" s="14">
        <f t="shared" si="1"/>
        <v>0</v>
      </c>
      <c r="K15" s="3">
        <f t="shared" si="2"/>
        <v>2</v>
      </c>
      <c r="L15" s="4">
        <f t="shared" si="3"/>
        <v>0</v>
      </c>
      <c r="M15" s="4">
        <f t="shared" si="4"/>
        <v>20</v>
      </c>
      <c r="N15" s="12" t="str">
        <f t="shared" si="5"/>
        <v>KEEP SELLING</v>
      </c>
    </row>
    <row r="16" spans="1:20" ht="18" customHeight="1" x14ac:dyDescent="0.2">
      <c r="A16" s="18" t="s">
        <v>45</v>
      </c>
      <c r="B16" s="18" t="s">
        <v>46</v>
      </c>
      <c r="C16" s="16" t="s">
        <v>31</v>
      </c>
      <c r="D16" s="16" t="s">
        <v>31</v>
      </c>
      <c r="E16" s="2">
        <v>10</v>
      </c>
      <c r="F16" s="13">
        <v>2</v>
      </c>
      <c r="G16" s="2">
        <f t="shared" si="0"/>
        <v>20</v>
      </c>
      <c r="H16" s="3"/>
      <c r="I16" s="3"/>
      <c r="J16" s="14">
        <f t="shared" si="1"/>
        <v>0</v>
      </c>
      <c r="K16" s="3">
        <f t="shared" si="2"/>
        <v>2</v>
      </c>
      <c r="L16" s="4">
        <f t="shared" si="3"/>
        <v>0</v>
      </c>
      <c r="M16" s="4">
        <f t="shared" si="4"/>
        <v>20</v>
      </c>
      <c r="N16" s="12" t="str">
        <f t="shared" si="5"/>
        <v>KEEP SELLING</v>
      </c>
    </row>
    <row r="17" spans="1:14" ht="18" customHeight="1" x14ac:dyDescent="0.2">
      <c r="A17" s="18" t="s">
        <v>45</v>
      </c>
      <c r="B17" s="18" t="s">
        <v>46</v>
      </c>
      <c r="C17" s="16" t="s">
        <v>32</v>
      </c>
      <c r="D17" s="16" t="s">
        <v>32</v>
      </c>
      <c r="E17" s="2">
        <v>10</v>
      </c>
      <c r="F17" s="13">
        <v>2</v>
      </c>
      <c r="G17" s="2">
        <f t="shared" si="0"/>
        <v>20</v>
      </c>
      <c r="H17" s="3"/>
      <c r="I17" s="17"/>
      <c r="J17" s="14">
        <f t="shared" si="1"/>
        <v>0</v>
      </c>
      <c r="K17" s="3">
        <f t="shared" si="2"/>
        <v>2</v>
      </c>
      <c r="L17" s="4">
        <f t="shared" si="3"/>
        <v>0</v>
      </c>
      <c r="M17" s="4">
        <f t="shared" si="4"/>
        <v>20</v>
      </c>
      <c r="N17" s="12" t="str">
        <f t="shared" si="5"/>
        <v>KEEP SELLING</v>
      </c>
    </row>
    <row r="18" spans="1:14" ht="18" customHeight="1" x14ac:dyDescent="0.2">
      <c r="A18" s="18" t="s">
        <v>45</v>
      </c>
      <c r="B18" s="18" t="s">
        <v>46</v>
      </c>
      <c r="C18" s="16" t="s">
        <v>33</v>
      </c>
      <c r="D18" s="16" t="s">
        <v>33</v>
      </c>
      <c r="E18" s="2">
        <v>10</v>
      </c>
      <c r="F18" s="13">
        <v>2</v>
      </c>
      <c r="G18" s="2">
        <f t="shared" si="0"/>
        <v>20</v>
      </c>
      <c r="H18" s="3"/>
      <c r="I18" s="3"/>
      <c r="J18" s="14">
        <f t="shared" si="1"/>
        <v>0</v>
      </c>
      <c r="K18" s="3">
        <f t="shared" si="2"/>
        <v>2</v>
      </c>
      <c r="L18" s="4">
        <f t="shared" si="3"/>
        <v>0</v>
      </c>
      <c r="M18" s="4">
        <f t="shared" si="4"/>
        <v>20</v>
      </c>
      <c r="N18" s="12" t="str">
        <f t="shared" si="5"/>
        <v>KEEP SELLING</v>
      </c>
    </row>
    <row r="19" spans="1:14" ht="18" customHeight="1" x14ac:dyDescent="0.2">
      <c r="A19" s="18" t="s">
        <v>45</v>
      </c>
      <c r="B19" s="18" t="s">
        <v>46</v>
      </c>
      <c r="C19" s="16" t="s">
        <v>34</v>
      </c>
      <c r="D19" s="16" t="s">
        <v>34</v>
      </c>
      <c r="E19" s="2">
        <v>10</v>
      </c>
      <c r="F19" s="13">
        <v>2</v>
      </c>
      <c r="G19" s="2">
        <f t="shared" si="0"/>
        <v>20</v>
      </c>
      <c r="H19" s="3"/>
      <c r="I19" s="3"/>
      <c r="J19" s="14">
        <f t="shared" si="1"/>
        <v>0</v>
      </c>
      <c r="K19" s="3">
        <f t="shared" si="2"/>
        <v>2</v>
      </c>
      <c r="L19" s="4">
        <f t="shared" si="3"/>
        <v>0</v>
      </c>
      <c r="M19" s="4">
        <f t="shared" si="4"/>
        <v>20</v>
      </c>
      <c r="N19" s="12" t="str">
        <f t="shared" si="5"/>
        <v>KEEP SELLING</v>
      </c>
    </row>
    <row r="20" spans="1:14" ht="18" customHeight="1" x14ac:dyDescent="0.2">
      <c r="A20" s="18" t="s">
        <v>45</v>
      </c>
      <c r="B20" s="18" t="s">
        <v>46</v>
      </c>
      <c r="C20" s="16" t="s">
        <v>35</v>
      </c>
      <c r="D20" s="16" t="s">
        <v>35</v>
      </c>
      <c r="E20" s="2">
        <v>10</v>
      </c>
      <c r="F20" s="13">
        <v>2</v>
      </c>
      <c r="G20" s="2">
        <f t="shared" si="0"/>
        <v>20</v>
      </c>
      <c r="H20" s="3"/>
      <c r="I20" s="3"/>
      <c r="J20" s="14">
        <f t="shared" si="1"/>
        <v>0</v>
      </c>
      <c r="K20" s="3">
        <f t="shared" si="2"/>
        <v>2</v>
      </c>
      <c r="L20" s="4">
        <f t="shared" si="3"/>
        <v>0</v>
      </c>
      <c r="M20" s="4">
        <f t="shared" si="4"/>
        <v>20</v>
      </c>
      <c r="N20" s="12" t="str">
        <f t="shared" si="5"/>
        <v>KEEP SELLING</v>
      </c>
    </row>
    <row r="21" spans="1:14" ht="18" customHeight="1" x14ac:dyDescent="0.2">
      <c r="A21" s="18" t="s">
        <v>45</v>
      </c>
      <c r="B21" s="18" t="s">
        <v>46</v>
      </c>
      <c r="C21" s="16" t="s">
        <v>36</v>
      </c>
      <c r="D21" s="16" t="s">
        <v>36</v>
      </c>
      <c r="E21" s="2">
        <v>10</v>
      </c>
      <c r="F21" s="13">
        <v>2</v>
      </c>
      <c r="G21" s="2">
        <f t="shared" si="0"/>
        <v>20</v>
      </c>
      <c r="H21" s="3"/>
      <c r="I21" s="3"/>
      <c r="J21" s="14">
        <f t="shared" si="1"/>
        <v>0</v>
      </c>
      <c r="K21" s="3">
        <f t="shared" si="2"/>
        <v>2</v>
      </c>
      <c r="L21" s="4">
        <f t="shared" si="3"/>
        <v>0</v>
      </c>
      <c r="M21" s="4">
        <f t="shared" si="4"/>
        <v>20</v>
      </c>
      <c r="N21" s="12" t="str">
        <f t="shared" si="5"/>
        <v>KEEP SELLING</v>
      </c>
    </row>
    <row r="22" spans="1:14" ht="18" customHeight="1" x14ac:dyDescent="0.2">
      <c r="A22" s="18" t="s">
        <v>45</v>
      </c>
      <c r="B22" s="18" t="s">
        <v>46</v>
      </c>
      <c r="C22" s="18" t="s">
        <v>47</v>
      </c>
      <c r="D22" s="18" t="s">
        <v>47</v>
      </c>
      <c r="E22" s="2">
        <v>10</v>
      </c>
      <c r="F22" s="13">
        <v>6</v>
      </c>
      <c r="G22" s="2">
        <f t="shared" si="0"/>
        <v>60</v>
      </c>
      <c r="H22" s="3"/>
      <c r="I22" s="3"/>
      <c r="J22" s="14">
        <f t="shared" si="1"/>
        <v>0</v>
      </c>
      <c r="K22" s="3">
        <f t="shared" si="2"/>
        <v>6</v>
      </c>
      <c r="L22" s="4">
        <f t="shared" si="3"/>
        <v>0</v>
      </c>
      <c r="M22" s="4">
        <f t="shared" si="4"/>
        <v>60</v>
      </c>
      <c r="N22" s="12" t="str">
        <f t="shared" si="5"/>
        <v>KEEP SELLING</v>
      </c>
    </row>
    <row r="23" spans="1:14" ht="18" customHeight="1" x14ac:dyDescent="0.2">
      <c r="A23" s="18" t="s">
        <v>45</v>
      </c>
      <c r="B23" s="18" t="s">
        <v>46</v>
      </c>
      <c r="C23" s="16" t="s">
        <v>37</v>
      </c>
      <c r="D23" s="16" t="s">
        <v>37</v>
      </c>
      <c r="E23" s="2">
        <v>10</v>
      </c>
      <c r="F23" s="13">
        <v>2</v>
      </c>
      <c r="G23" s="2">
        <f t="shared" si="0"/>
        <v>20</v>
      </c>
      <c r="H23" s="3"/>
      <c r="I23" s="3"/>
      <c r="J23" s="14">
        <f t="shared" si="1"/>
        <v>0</v>
      </c>
      <c r="K23" s="3">
        <f t="shared" si="2"/>
        <v>2</v>
      </c>
      <c r="L23" s="4">
        <f t="shared" si="3"/>
        <v>0</v>
      </c>
      <c r="M23" s="4">
        <f t="shared" si="4"/>
        <v>20</v>
      </c>
      <c r="N23" s="12" t="str">
        <f t="shared" si="5"/>
        <v>KEEP SELLING</v>
      </c>
    </row>
    <row r="24" spans="1:14" ht="18" customHeight="1" x14ac:dyDescent="0.2">
      <c r="A24" s="18" t="s">
        <v>45</v>
      </c>
      <c r="B24" s="18" t="s">
        <v>46</v>
      </c>
      <c r="C24" s="16" t="s">
        <v>38</v>
      </c>
      <c r="D24" s="16" t="s">
        <v>38</v>
      </c>
      <c r="E24" s="2">
        <v>10</v>
      </c>
      <c r="F24" s="13">
        <v>2</v>
      </c>
      <c r="G24" s="2">
        <f t="shared" si="0"/>
        <v>20</v>
      </c>
      <c r="H24" s="3"/>
      <c r="I24" s="3"/>
      <c r="J24" s="14">
        <f t="shared" si="1"/>
        <v>0</v>
      </c>
      <c r="K24" s="3">
        <f t="shared" si="2"/>
        <v>2</v>
      </c>
      <c r="L24" s="4">
        <f t="shared" si="3"/>
        <v>0</v>
      </c>
      <c r="M24" s="4">
        <f t="shared" si="4"/>
        <v>20</v>
      </c>
      <c r="N24" s="12" t="str">
        <f t="shared" si="5"/>
        <v>KEEP SELLING</v>
      </c>
    </row>
    <row r="25" spans="1:14" ht="18" customHeight="1" x14ac:dyDescent="0.2">
      <c r="A25" s="18" t="s">
        <v>45</v>
      </c>
      <c r="B25" s="18" t="s">
        <v>46</v>
      </c>
      <c r="C25" s="16" t="s">
        <v>39</v>
      </c>
      <c r="D25" s="16" t="s">
        <v>39</v>
      </c>
      <c r="E25" s="2">
        <v>10</v>
      </c>
      <c r="F25" s="13">
        <v>2</v>
      </c>
      <c r="G25" s="2">
        <f t="shared" si="0"/>
        <v>20</v>
      </c>
      <c r="H25" s="3"/>
      <c r="I25" s="3"/>
      <c r="J25" s="14">
        <f t="shared" si="1"/>
        <v>0</v>
      </c>
      <c r="K25" s="3">
        <f t="shared" si="2"/>
        <v>2</v>
      </c>
      <c r="L25" s="4">
        <f t="shared" si="3"/>
        <v>0</v>
      </c>
      <c r="M25" s="4">
        <f t="shared" si="4"/>
        <v>20</v>
      </c>
      <c r="N25" s="12" t="str">
        <f t="shared" si="5"/>
        <v>KEEP SELLING</v>
      </c>
    </row>
    <row r="26" spans="1:14" ht="18" customHeight="1" x14ac:dyDescent="0.2">
      <c r="A26" s="18" t="s">
        <v>45</v>
      </c>
      <c r="B26" s="18" t="s">
        <v>46</v>
      </c>
      <c r="C26" s="16" t="s">
        <v>40</v>
      </c>
      <c r="D26" s="16" t="s">
        <v>40</v>
      </c>
      <c r="E26" s="2">
        <v>10</v>
      </c>
      <c r="F26" s="13">
        <v>2</v>
      </c>
      <c r="G26" s="2">
        <f t="shared" si="0"/>
        <v>20</v>
      </c>
      <c r="H26" s="3"/>
      <c r="I26" s="3"/>
      <c r="J26" s="14">
        <f t="shared" si="1"/>
        <v>0</v>
      </c>
      <c r="K26" s="3">
        <f t="shared" si="2"/>
        <v>2</v>
      </c>
      <c r="L26" s="4">
        <f t="shared" si="3"/>
        <v>0</v>
      </c>
      <c r="M26" s="4">
        <f t="shared" si="4"/>
        <v>20</v>
      </c>
      <c r="N26" s="12" t="str">
        <f t="shared" si="5"/>
        <v>KEEP SELLING</v>
      </c>
    </row>
    <row r="27" spans="1:14" ht="18" customHeight="1" x14ac:dyDescent="0.2">
      <c r="A27" s="18" t="s">
        <v>45</v>
      </c>
      <c r="B27" s="18" t="s">
        <v>46</v>
      </c>
      <c r="C27" s="16" t="s">
        <v>41</v>
      </c>
      <c r="D27" s="16" t="s">
        <v>41</v>
      </c>
      <c r="E27" s="2">
        <v>10</v>
      </c>
      <c r="F27" s="13">
        <v>2</v>
      </c>
      <c r="G27" s="2">
        <f t="shared" si="0"/>
        <v>20</v>
      </c>
      <c r="H27" s="3"/>
      <c r="I27" s="3"/>
      <c r="J27" s="14">
        <f t="shared" si="1"/>
        <v>0</v>
      </c>
      <c r="K27" s="3">
        <f t="shared" si="2"/>
        <v>2</v>
      </c>
      <c r="L27" s="4">
        <f t="shared" si="3"/>
        <v>0</v>
      </c>
      <c r="M27" s="4">
        <f t="shared" si="4"/>
        <v>20</v>
      </c>
      <c r="N27" s="12" t="str">
        <f t="shared" si="5"/>
        <v>KEEP SELLING</v>
      </c>
    </row>
    <row r="28" spans="1:14" ht="18" customHeight="1" x14ac:dyDescent="0.2">
      <c r="A28" s="18" t="s">
        <v>45</v>
      </c>
      <c r="B28" s="18" t="s">
        <v>46</v>
      </c>
      <c r="C28" s="16" t="s">
        <v>42</v>
      </c>
      <c r="D28" s="16" t="s">
        <v>42</v>
      </c>
      <c r="E28" s="2">
        <v>10</v>
      </c>
      <c r="F28" s="13">
        <v>2</v>
      </c>
      <c r="G28" s="2">
        <f t="shared" si="0"/>
        <v>20</v>
      </c>
      <c r="H28" s="3"/>
      <c r="I28" s="3"/>
      <c r="J28" s="14">
        <f t="shared" si="1"/>
        <v>0</v>
      </c>
      <c r="K28" s="3">
        <f t="shared" si="2"/>
        <v>2</v>
      </c>
      <c r="L28" s="4">
        <f t="shared" si="3"/>
        <v>0</v>
      </c>
      <c r="M28" s="4">
        <f t="shared" si="4"/>
        <v>20</v>
      </c>
      <c r="N28" s="12" t="str">
        <f t="shared" si="5"/>
        <v>KEEP SELLING</v>
      </c>
    </row>
    <row r="29" spans="1:14" ht="18" customHeight="1" x14ac:dyDescent="0.2">
      <c r="A29" s="18" t="s">
        <v>45</v>
      </c>
      <c r="B29" s="18" t="s">
        <v>46</v>
      </c>
      <c r="C29" s="16" t="s">
        <v>43</v>
      </c>
      <c r="D29" s="16" t="s">
        <v>43</v>
      </c>
      <c r="E29" s="2">
        <v>10</v>
      </c>
      <c r="F29" s="13">
        <v>2</v>
      </c>
      <c r="G29" s="2">
        <f t="shared" si="0"/>
        <v>20</v>
      </c>
      <c r="H29" s="3"/>
      <c r="I29" s="3"/>
      <c r="J29" s="14">
        <f t="shared" si="1"/>
        <v>0</v>
      </c>
      <c r="K29" s="3">
        <f t="shared" si="2"/>
        <v>2</v>
      </c>
      <c r="L29" s="4">
        <f t="shared" si="3"/>
        <v>0</v>
      </c>
      <c r="M29" s="4">
        <f t="shared" si="4"/>
        <v>20</v>
      </c>
      <c r="N29" s="12" t="str">
        <f t="shared" si="5"/>
        <v>KEEP SELLING</v>
      </c>
    </row>
    <row r="30" spans="1:14" ht="18" customHeight="1" x14ac:dyDescent="0.2">
      <c r="A30" s="18" t="s">
        <v>48</v>
      </c>
      <c r="B30" s="18" t="s">
        <v>49</v>
      </c>
      <c r="C30" s="16" t="s">
        <v>14</v>
      </c>
      <c r="D30" s="16" t="s">
        <v>14</v>
      </c>
      <c r="E30" s="2">
        <v>5</v>
      </c>
      <c r="F30" s="13">
        <v>349</v>
      </c>
      <c r="G30" s="2">
        <f t="shared" si="0"/>
        <v>1745</v>
      </c>
      <c r="H30" s="3"/>
      <c r="I30" s="3">
        <v>1348</v>
      </c>
      <c r="J30" s="14">
        <f t="shared" si="1"/>
        <v>1348</v>
      </c>
      <c r="K30" s="3">
        <f t="shared" si="2"/>
        <v>-999</v>
      </c>
      <c r="L30" s="4">
        <f t="shared" si="3"/>
        <v>6740</v>
      </c>
      <c r="M30" s="4">
        <f t="shared" si="4"/>
        <v>-4995</v>
      </c>
      <c r="N30" s="12" t="str">
        <f t="shared" si="5"/>
        <v>DO NOT SELL</v>
      </c>
    </row>
    <row r="31" spans="1:14" ht="18" customHeight="1" x14ac:dyDescent="0.2">
      <c r="A31" s="18" t="s">
        <v>48</v>
      </c>
      <c r="B31" s="18" t="s">
        <v>49</v>
      </c>
      <c r="C31" s="16" t="s">
        <v>16</v>
      </c>
      <c r="D31" s="16" t="s">
        <v>16</v>
      </c>
      <c r="E31" s="2">
        <v>5</v>
      </c>
      <c r="F31" s="13">
        <v>478</v>
      </c>
      <c r="G31" s="2">
        <f t="shared" si="0"/>
        <v>2390</v>
      </c>
      <c r="H31" s="3">
        <v>60</v>
      </c>
      <c r="I31" s="3">
        <v>460</v>
      </c>
      <c r="J31" s="14">
        <f t="shared" si="1"/>
        <v>520</v>
      </c>
      <c r="K31" s="3">
        <f t="shared" si="2"/>
        <v>-42</v>
      </c>
      <c r="L31" s="4">
        <f t="shared" si="3"/>
        <v>2600</v>
      </c>
      <c r="M31" s="4">
        <f t="shared" si="4"/>
        <v>-210</v>
      </c>
      <c r="N31" s="12" t="str">
        <f t="shared" si="5"/>
        <v>DO NOT SELL</v>
      </c>
    </row>
    <row r="32" spans="1:14" ht="18" customHeight="1" x14ac:dyDescent="0.2">
      <c r="A32" s="18" t="s">
        <v>48</v>
      </c>
      <c r="B32" s="18" t="s">
        <v>49</v>
      </c>
      <c r="C32" s="16" t="s">
        <v>44</v>
      </c>
      <c r="D32" s="16" t="s">
        <v>44</v>
      </c>
      <c r="E32" s="2">
        <v>5</v>
      </c>
      <c r="F32" s="13">
        <v>131</v>
      </c>
      <c r="G32" s="2">
        <f t="shared" si="0"/>
        <v>655</v>
      </c>
      <c r="H32" s="3"/>
      <c r="I32" s="3">
        <v>100</v>
      </c>
      <c r="J32" s="14">
        <f t="shared" si="1"/>
        <v>100</v>
      </c>
      <c r="K32" s="3">
        <f t="shared" si="2"/>
        <v>31</v>
      </c>
      <c r="L32" s="4">
        <f t="shared" si="3"/>
        <v>500</v>
      </c>
      <c r="M32" s="4">
        <f t="shared" si="4"/>
        <v>155</v>
      </c>
      <c r="N32" s="12" t="str">
        <f t="shared" si="5"/>
        <v>KEEP SELLING</v>
      </c>
    </row>
    <row r="33" spans="1:15" ht="18" customHeight="1" x14ac:dyDescent="0.2">
      <c r="A33" s="18" t="s">
        <v>50</v>
      </c>
      <c r="B33" s="18" t="s">
        <v>51</v>
      </c>
      <c r="C33" s="16" t="s">
        <v>13</v>
      </c>
      <c r="D33" s="16" t="s">
        <v>13</v>
      </c>
      <c r="E33" s="2">
        <v>5</v>
      </c>
      <c r="F33" s="13">
        <v>618</v>
      </c>
      <c r="G33" s="2">
        <f t="shared" si="0"/>
        <v>3090</v>
      </c>
      <c r="H33" s="3"/>
      <c r="I33" s="3">
        <v>1324</v>
      </c>
      <c r="J33" s="14">
        <f t="shared" si="1"/>
        <v>1324</v>
      </c>
      <c r="K33" s="3">
        <f t="shared" si="2"/>
        <v>-706</v>
      </c>
      <c r="L33" s="4">
        <f t="shared" si="3"/>
        <v>6620</v>
      </c>
      <c r="M33" s="4">
        <f t="shared" si="4"/>
        <v>-3530</v>
      </c>
      <c r="N33" s="12" t="str">
        <f t="shared" si="5"/>
        <v>DO NOT SELL</v>
      </c>
      <c r="O33">
        <v>100</v>
      </c>
    </row>
    <row r="34" spans="1:15" ht="18" customHeight="1" x14ac:dyDescent="0.2">
      <c r="A34" s="18" t="s">
        <v>50</v>
      </c>
      <c r="B34" s="18" t="s">
        <v>51</v>
      </c>
      <c r="C34" s="16" t="s">
        <v>14</v>
      </c>
      <c r="D34" s="16" t="s">
        <v>14</v>
      </c>
      <c r="E34" s="2">
        <v>5</v>
      </c>
      <c r="F34" s="13">
        <v>128</v>
      </c>
      <c r="G34" s="2">
        <f t="shared" si="0"/>
        <v>640</v>
      </c>
      <c r="H34" s="3"/>
      <c r="I34" s="3"/>
      <c r="J34" s="14">
        <f t="shared" si="1"/>
        <v>0</v>
      </c>
      <c r="K34" s="3">
        <f t="shared" si="2"/>
        <v>128</v>
      </c>
      <c r="L34" s="4">
        <f t="shared" si="3"/>
        <v>0</v>
      </c>
      <c r="M34" s="4">
        <f t="shared" si="4"/>
        <v>640</v>
      </c>
      <c r="N34" s="12" t="str">
        <f t="shared" si="5"/>
        <v>KEEP SELLING</v>
      </c>
    </row>
    <row r="35" spans="1:15" ht="18" customHeight="1" x14ac:dyDescent="0.2">
      <c r="A35" s="18" t="s">
        <v>50</v>
      </c>
      <c r="B35" s="18" t="s">
        <v>51</v>
      </c>
      <c r="C35" s="16" t="s">
        <v>15</v>
      </c>
      <c r="D35" s="16" t="s">
        <v>15</v>
      </c>
      <c r="E35" s="2">
        <v>2</v>
      </c>
      <c r="F35" s="13">
        <v>258</v>
      </c>
      <c r="G35" s="2">
        <f t="shared" si="0"/>
        <v>516</v>
      </c>
      <c r="H35" s="3"/>
      <c r="I35" s="3">
        <v>803</v>
      </c>
      <c r="J35" s="14">
        <f t="shared" si="1"/>
        <v>803</v>
      </c>
      <c r="K35" s="3">
        <f t="shared" si="2"/>
        <v>-545</v>
      </c>
      <c r="L35" s="4">
        <f t="shared" si="3"/>
        <v>1606</v>
      </c>
      <c r="M35" s="4">
        <f t="shared" si="4"/>
        <v>-1090</v>
      </c>
      <c r="N35" s="12" t="str">
        <f t="shared" si="5"/>
        <v>DO NOT SELL</v>
      </c>
      <c r="O35">
        <v>100</v>
      </c>
    </row>
    <row r="36" spans="1:15" ht="18" customHeight="1" x14ac:dyDescent="0.2">
      <c r="A36" s="18" t="s">
        <v>50</v>
      </c>
      <c r="B36" s="18" t="s">
        <v>51</v>
      </c>
      <c r="C36" s="16" t="s">
        <v>16</v>
      </c>
      <c r="D36" s="16" t="s">
        <v>16</v>
      </c>
      <c r="E36" s="2">
        <v>5</v>
      </c>
      <c r="F36" s="13">
        <v>192</v>
      </c>
      <c r="G36" s="2">
        <f t="shared" si="0"/>
        <v>960</v>
      </c>
      <c r="H36" s="3"/>
      <c r="I36" s="3">
        <v>810</v>
      </c>
      <c r="J36" s="14">
        <f t="shared" si="1"/>
        <v>810</v>
      </c>
      <c r="K36" s="3">
        <f t="shared" si="2"/>
        <v>-618</v>
      </c>
      <c r="L36" s="4">
        <f t="shared" si="3"/>
        <v>4050</v>
      </c>
      <c r="M36" s="4">
        <f t="shared" si="4"/>
        <v>-3090</v>
      </c>
      <c r="N36" s="12" t="str">
        <f t="shared" si="5"/>
        <v>DO NOT SELL</v>
      </c>
      <c r="O36">
        <v>100</v>
      </c>
    </row>
    <row r="37" spans="1:15" ht="18" customHeight="1" x14ac:dyDescent="0.2">
      <c r="A37" s="18" t="s">
        <v>50</v>
      </c>
      <c r="B37" s="18" t="s">
        <v>51</v>
      </c>
      <c r="C37" s="16" t="s">
        <v>17</v>
      </c>
      <c r="D37" s="16" t="s">
        <v>17</v>
      </c>
      <c r="E37" s="2">
        <v>5</v>
      </c>
      <c r="F37" s="13">
        <v>67</v>
      </c>
      <c r="G37" s="2">
        <f t="shared" si="0"/>
        <v>335</v>
      </c>
      <c r="H37" s="3">
        <v>40</v>
      </c>
      <c r="I37" s="3">
        <v>324</v>
      </c>
      <c r="J37" s="14">
        <f t="shared" si="1"/>
        <v>364</v>
      </c>
      <c r="K37" s="3">
        <f t="shared" si="2"/>
        <v>-297</v>
      </c>
      <c r="L37" s="4">
        <f t="shared" si="3"/>
        <v>1820</v>
      </c>
      <c r="M37" s="4">
        <f t="shared" si="4"/>
        <v>-1485</v>
      </c>
      <c r="N37" s="12" t="str">
        <f t="shared" si="5"/>
        <v>DO NOT SELL</v>
      </c>
      <c r="O37">
        <v>10</v>
      </c>
    </row>
    <row r="38" spans="1:15" ht="18" customHeight="1" x14ac:dyDescent="0.2">
      <c r="A38" s="18" t="s">
        <v>50</v>
      </c>
      <c r="B38" s="18" t="s">
        <v>51</v>
      </c>
      <c r="C38" s="16" t="s">
        <v>18</v>
      </c>
      <c r="D38" s="16" t="s">
        <v>18</v>
      </c>
      <c r="E38" s="2">
        <v>5</v>
      </c>
      <c r="F38" s="13">
        <v>42</v>
      </c>
      <c r="G38" s="2">
        <f t="shared" si="0"/>
        <v>210</v>
      </c>
      <c r="H38" s="3"/>
      <c r="I38" s="3"/>
      <c r="J38" s="14">
        <f t="shared" si="1"/>
        <v>0</v>
      </c>
      <c r="K38" s="3">
        <f t="shared" si="2"/>
        <v>42</v>
      </c>
      <c r="L38" s="4">
        <f t="shared" si="3"/>
        <v>0</v>
      </c>
      <c r="M38" s="4">
        <f t="shared" si="4"/>
        <v>210</v>
      </c>
      <c r="N38" s="12" t="str">
        <f t="shared" si="5"/>
        <v>KEEP SELLING</v>
      </c>
    </row>
    <row r="39" spans="1:15" ht="18" customHeight="1" x14ac:dyDescent="0.2">
      <c r="A39" s="18" t="s">
        <v>50</v>
      </c>
      <c r="B39" s="18" t="s">
        <v>51</v>
      </c>
      <c r="C39" s="16" t="s">
        <v>19</v>
      </c>
      <c r="D39" s="16" t="s">
        <v>19</v>
      </c>
      <c r="E39" s="2">
        <v>5</v>
      </c>
      <c r="F39" s="13">
        <v>81</v>
      </c>
      <c r="G39" s="2">
        <f t="shared" si="0"/>
        <v>405</v>
      </c>
      <c r="H39" s="3">
        <v>441</v>
      </c>
      <c r="I39" s="3">
        <v>200</v>
      </c>
      <c r="J39" s="14">
        <f t="shared" si="1"/>
        <v>641</v>
      </c>
      <c r="K39" s="3">
        <f t="shared" si="2"/>
        <v>-560</v>
      </c>
      <c r="L39" s="4">
        <f t="shared" si="3"/>
        <v>3205</v>
      </c>
      <c r="M39" s="4">
        <f t="shared" si="4"/>
        <v>-2800</v>
      </c>
      <c r="N39" s="12" t="str">
        <f t="shared" si="5"/>
        <v>DO NOT SELL</v>
      </c>
    </row>
    <row r="40" spans="1:15" ht="18" customHeight="1" x14ac:dyDescent="0.2">
      <c r="A40" s="18" t="s">
        <v>50</v>
      </c>
      <c r="B40" s="18" t="s">
        <v>51</v>
      </c>
      <c r="C40" s="16" t="s">
        <v>20</v>
      </c>
      <c r="D40" s="16" t="s">
        <v>20</v>
      </c>
      <c r="E40" s="2">
        <v>30</v>
      </c>
      <c r="F40" s="13">
        <v>17</v>
      </c>
      <c r="G40" s="2">
        <f t="shared" si="0"/>
        <v>510</v>
      </c>
      <c r="H40" s="3"/>
      <c r="I40" s="3"/>
      <c r="J40" s="14">
        <f t="shared" si="1"/>
        <v>0</v>
      </c>
      <c r="K40" s="3">
        <f t="shared" si="2"/>
        <v>17</v>
      </c>
      <c r="L40" s="4">
        <f t="shared" si="3"/>
        <v>0</v>
      </c>
      <c r="M40" s="4">
        <f t="shared" si="4"/>
        <v>510</v>
      </c>
      <c r="N40" s="12" t="str">
        <f t="shared" si="5"/>
        <v>KEEP SELLING</v>
      </c>
    </row>
    <row r="41" spans="1:15" ht="18" customHeight="1" x14ac:dyDescent="0.2">
      <c r="A41" s="18" t="s">
        <v>50</v>
      </c>
      <c r="B41" s="18" t="s">
        <v>51</v>
      </c>
      <c r="C41" s="16" t="s">
        <v>21</v>
      </c>
      <c r="D41" s="16" t="s">
        <v>21</v>
      </c>
      <c r="E41" s="2">
        <v>30</v>
      </c>
      <c r="F41" s="13">
        <v>5</v>
      </c>
      <c r="G41" s="2">
        <f t="shared" si="0"/>
        <v>150</v>
      </c>
      <c r="H41" s="3"/>
      <c r="I41" s="3"/>
      <c r="J41" s="14">
        <f t="shared" si="1"/>
        <v>0</v>
      </c>
      <c r="K41" s="3">
        <f t="shared" si="2"/>
        <v>5</v>
      </c>
      <c r="L41" s="4">
        <f t="shared" si="3"/>
        <v>0</v>
      </c>
      <c r="M41" s="4">
        <f t="shared" si="4"/>
        <v>150</v>
      </c>
      <c r="N41" s="12" t="str">
        <f t="shared" si="5"/>
        <v>KEEP SELLING</v>
      </c>
    </row>
    <row r="42" spans="1:15" ht="18" customHeight="1" x14ac:dyDescent="0.2">
      <c r="A42" s="18" t="s">
        <v>50</v>
      </c>
      <c r="B42" s="18" t="s">
        <v>51</v>
      </c>
      <c r="C42" s="16" t="s">
        <v>23</v>
      </c>
      <c r="D42" s="16" t="s">
        <v>23</v>
      </c>
      <c r="E42" s="2">
        <v>30</v>
      </c>
      <c r="F42" s="13">
        <v>75</v>
      </c>
      <c r="G42" s="2">
        <f t="shared" si="0"/>
        <v>2250</v>
      </c>
      <c r="H42" s="3"/>
      <c r="I42" s="3">
        <v>10</v>
      </c>
      <c r="J42" s="14">
        <f t="shared" si="1"/>
        <v>10</v>
      </c>
      <c r="K42" s="3">
        <f t="shared" si="2"/>
        <v>65</v>
      </c>
      <c r="L42" s="4">
        <f t="shared" si="3"/>
        <v>300</v>
      </c>
      <c r="M42" s="4">
        <f t="shared" si="4"/>
        <v>1950</v>
      </c>
      <c r="N42" s="12" t="str">
        <f t="shared" si="5"/>
        <v>KEEP SELLING</v>
      </c>
      <c r="O42">
        <v>10</v>
      </c>
    </row>
    <row r="43" spans="1:15" ht="18" customHeight="1" x14ac:dyDescent="0.2">
      <c r="A43" s="18" t="s">
        <v>50</v>
      </c>
      <c r="B43" s="18" t="s">
        <v>51</v>
      </c>
      <c r="C43" s="16" t="s">
        <v>22</v>
      </c>
      <c r="D43" s="16" t="s">
        <v>22</v>
      </c>
      <c r="E43" s="2">
        <v>80</v>
      </c>
      <c r="F43" s="13">
        <v>141</v>
      </c>
      <c r="G43" s="2">
        <f t="shared" si="0"/>
        <v>11280</v>
      </c>
      <c r="H43" s="3"/>
      <c r="I43" s="3">
        <v>20</v>
      </c>
      <c r="J43" s="14">
        <f t="shared" si="1"/>
        <v>20</v>
      </c>
      <c r="K43" s="3">
        <f t="shared" si="2"/>
        <v>121</v>
      </c>
      <c r="L43" s="4">
        <f t="shared" si="3"/>
        <v>1600</v>
      </c>
      <c r="M43" s="4">
        <f t="shared" si="4"/>
        <v>9680</v>
      </c>
      <c r="N43" s="12" t="str">
        <f t="shared" si="5"/>
        <v>KEEP SELLING</v>
      </c>
      <c r="O43">
        <v>20</v>
      </c>
    </row>
  </sheetData>
  <conditionalFormatting sqref="H2:N43">
    <cfRule type="cellIs" dxfId="2" priority="2" operator="lessThan">
      <formula>0</formula>
    </cfRule>
  </conditionalFormatting>
  <conditionalFormatting sqref="N1:N1048576">
    <cfRule type="containsText" dxfId="1" priority="3" operator="containsText" text="DO NOT SELL">
      <formula>NOT(ISERROR(SEARCH("DO NOT SELL",N1)))</formula>
    </cfRule>
    <cfRule type="containsText" dxfId="0" priority="4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inventory + RTF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2026-03-26T20:33:01Z</dcterms:modified>
  <cp:category/>
  <cp:contentStatus/>
</cp:coreProperties>
</file>