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"/>
    </mc:Choice>
  </mc:AlternateContent>
  <xr:revisionPtr revIDLastSave="0" documentId="13_ncr:1_{4543A244-9A5E-48D2-839B-262786D0B5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<sst xmlns="http://schemas.openxmlformats.org/spreadsheetml/2006/main" count="81" uniqueCount="33">
  <si>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</si>
  <si>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</si>
  <si>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</si>
  <si>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</si>
  <si>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</si>
  <si>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</si>
  <si>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Price</t>
  </si>
  <si>
    <t>Start Date of Condition</t>
  </si>
  <si>
    <t>End Date of Condition</t>
  </si>
  <si>
    <t>VITEL MOBILE, INC.</t>
  </si>
  <si>
    <t>G-A26-5G</t>
  </si>
  <si>
    <t>G-A36-5G</t>
  </si>
  <si>
    <t>G-A56-5G</t>
  </si>
  <si>
    <t>G-A06</t>
  </si>
  <si>
    <t>G-A07</t>
  </si>
  <si>
    <t>G-A16</t>
  </si>
  <si>
    <t>G-A17</t>
  </si>
  <si>
    <t>G-S25</t>
  </si>
  <si>
    <t>G-S25+</t>
  </si>
  <si>
    <t>G-S25-ULTRA</t>
  </si>
  <si>
    <t>G-S25-FE</t>
  </si>
  <si>
    <t>A2S3A0A260000001</t>
  </si>
  <si>
    <t>A0S3A0A260000014</t>
  </si>
  <si>
    <t>VITEL W3-W5 S25 FE OM ST Promo</t>
  </si>
  <si>
    <t>A0S3A0A260000021</t>
  </si>
  <si>
    <t>VITEL W3-W5 VE Special Market Sell-Thru Promotion</t>
  </si>
  <si>
    <t>A2S3A0A260000004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</si>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</sst>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E1" workbookViewId="0">
      <pane ySplit="1" topLeftCell="A2" activePane="bottomLeft" state="frozen"/>
      <selection pane="bottomLeft" activeCell="M6" sqref="M6"/>
    </sheetView>
  </sheetViews>
  <sheetFormatPr defaultRowHeight="12.75" x14ac:dyDescent="0.2"/>
  <cols>
    <col min="1" max="1" width="22.42578125" bestFit="1" customWidth="1"/>
    <col min="2" max="2" width="44.7109375" bestFit="1" customWidth="1"/>
    <col min="3" max="3" width="28" bestFit="1" customWidth="1"/>
    <col min="4" max="4" width="27.85546875" bestFit="1" customWidth="1"/>
    <col min="5" max="6" width="13.85546875" bestFit="1" customWidth="1"/>
    <col min="7" max="7" width="13.1406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7</v>
      </c>
      <c r="O1" s="1" t="s">
        <v>8</v>
      </c>
    </row>
    <row r="2" spans="1:15" x14ac:dyDescent="0.2">
      <c r="A2" s="2" t="s">
        <v>22</v>
      </c>
      <c r="B2" s="2" t="s">
        <v>23</v>
      </c>
      <c r="C2" s="2" t="s">
        <v>21</v>
      </c>
      <c r="D2" s="2" t="s">
        <v>9</v>
      </c>
      <c r="E2" s="2" t="s">
        <v>20</v>
      </c>
      <c r="F2" s="2" t="s">
        <v>20</v>
      </c>
      <c r="G2" s="4">
        <v>70</v>
      </c>
      <c r="H2" s="5">
        <v>105</v>
      </c>
      <c r="I2" s="4">
        <v>7350</v>
      </c>
      <c r="J2" s="5">
        <v>1261</v>
      </c>
      <c r="K2" s="4">
        <f t="shared" ref="K2:K12" si="0">J2*G2</f>
        <v>88270</v>
      </c>
      <c r="L2" s="5">
        <f t="shared" ref="L2:L12" si="1">J2-H2</f>
        <v>1156</v>
      </c>
      <c r="M2" s="4">
        <f t="shared" ref="M2:M12" si="2">K2-I2</f>
        <v>80920</v>
      </c>
      <c r="N2" s="3">
        <v>46034</v>
      </c>
      <c r="O2" s="3">
        <v>46054</v>
      </c>
    </row>
    <row r="3" spans="1:15" x14ac:dyDescent="0.2">
      <c r="A3" s="2" t="s">
        <v>24</v>
      </c>
      <c r="B3" s="2" t="s">
        <v>25</v>
      </c>
      <c r="C3" s="2" t="s">
        <v>26</v>
      </c>
      <c r="D3" s="2" t="s">
        <v>9</v>
      </c>
      <c r="E3" s="2" t="s">
        <v>13</v>
      </c>
      <c r="F3" s="2" t="s">
        <v>13</v>
      </c>
      <c r="G3" s="4">
        <v>5</v>
      </c>
      <c r="H3" s="5">
        <v>4565</v>
      </c>
      <c r="I3" s="4">
        <v>22825</v>
      </c>
      <c r="J3" s="5">
        <v>1510</v>
      </c>
      <c r="K3" s="4">
        <f t="shared" si="0"/>
        <v>7550</v>
      </c>
      <c r="L3" s="5">
        <f t="shared" si="1"/>
        <v>-3055</v>
      </c>
      <c r="M3" s="4">
        <f t="shared" si="2"/>
        <v>-15275</v>
      </c>
      <c r="N3" s="3">
        <v>46034</v>
      </c>
      <c r="O3" s="3">
        <v>46054</v>
      </c>
    </row>
    <row r="4" spans="1:15" x14ac:dyDescent="0.2">
      <c r="A4" s="2" t="s">
        <v>24</v>
      </c>
      <c r="B4" s="2" t="s">
        <v>25</v>
      </c>
      <c r="C4" s="2" t="s">
        <v>26</v>
      </c>
      <c r="D4" s="2" t="s">
        <v>9</v>
      </c>
      <c r="E4" s="2" t="s">
        <v>14</v>
      </c>
      <c r="F4" s="2" t="s">
        <v>14</v>
      </c>
      <c r="G4" s="4">
        <v>5</v>
      </c>
      <c r="H4" s="5">
        <v>1422</v>
      </c>
      <c r="I4" s="4">
        <v>7110</v>
      </c>
      <c r="J4" s="5">
        <v>980</v>
      </c>
      <c r="K4" s="4">
        <f t="shared" si="0"/>
        <v>4900</v>
      </c>
      <c r="L4" s="5">
        <f t="shared" si="1"/>
        <v>-442</v>
      </c>
      <c r="M4" s="4">
        <f t="shared" si="2"/>
        <v>-2210</v>
      </c>
      <c r="N4" s="3">
        <v>46034</v>
      </c>
      <c r="O4" s="3">
        <v>46054</v>
      </c>
    </row>
    <row r="5" spans="1:15" x14ac:dyDescent="0.2">
      <c r="A5" s="2" t="s">
        <v>24</v>
      </c>
      <c r="B5" s="2" t="s">
        <v>25</v>
      </c>
      <c r="C5" s="2" t="s">
        <v>26</v>
      </c>
      <c r="D5" s="2" t="s">
        <v>9</v>
      </c>
      <c r="E5" s="2" t="s">
        <v>15</v>
      </c>
      <c r="F5" s="2" t="s">
        <v>15</v>
      </c>
      <c r="G5" s="4">
        <v>2</v>
      </c>
      <c r="H5" s="5">
        <v>2663</v>
      </c>
      <c r="I5" s="4">
        <v>5326</v>
      </c>
      <c r="J5" s="5">
        <v>3810</v>
      </c>
      <c r="K5" s="4">
        <f t="shared" si="0"/>
        <v>7620</v>
      </c>
      <c r="L5" s="5">
        <f t="shared" si="1"/>
        <v>1147</v>
      </c>
      <c r="M5" s="4">
        <f t="shared" si="2"/>
        <v>2294</v>
      </c>
      <c r="N5" s="3">
        <v>46034</v>
      </c>
      <c r="O5" s="3">
        <v>46054</v>
      </c>
    </row>
    <row r="6" spans="1:15" x14ac:dyDescent="0.2">
      <c r="A6" s="2" t="s">
        <v>24</v>
      </c>
      <c r="B6" s="2" t="s">
        <v>25</v>
      </c>
      <c r="C6" s="2" t="s">
        <v>26</v>
      </c>
      <c r="D6" s="2" t="s">
        <v>9</v>
      </c>
      <c r="E6" s="2" t="s">
        <v>16</v>
      </c>
      <c r="F6" s="2" t="s">
        <v>16</v>
      </c>
      <c r="G6" s="4">
        <v>5</v>
      </c>
      <c r="H6" s="5">
        <v>1183</v>
      </c>
      <c r="I6" s="4">
        <v>5915</v>
      </c>
      <c r="J6" s="5">
        <v>915</v>
      </c>
      <c r="K6" s="4">
        <f t="shared" si="0"/>
        <v>4575</v>
      </c>
      <c r="L6" s="5">
        <f t="shared" si="1"/>
        <v>-268</v>
      </c>
      <c r="M6" s="4">
        <f t="shared" si="2"/>
        <v>-1340</v>
      </c>
      <c r="N6" s="3">
        <v>46034</v>
      </c>
      <c r="O6" s="3">
        <v>46054</v>
      </c>
    </row>
    <row r="7" spans="1:15" x14ac:dyDescent="0.2">
      <c r="A7" s="2" t="s">
        <v>24</v>
      </c>
      <c r="B7" s="2" t="s">
        <v>25</v>
      </c>
      <c r="C7" s="2" t="s">
        <v>26</v>
      </c>
      <c r="D7" s="2" t="s">
        <v>9</v>
      </c>
      <c r="E7" s="2" t="s">
        <v>10</v>
      </c>
      <c r="F7" s="2" t="s">
        <v>10</v>
      </c>
      <c r="G7" s="4">
        <v>5</v>
      </c>
      <c r="H7" s="5">
        <v>398</v>
      </c>
      <c r="I7" s="4">
        <v>1990</v>
      </c>
      <c r="J7" s="5">
        <v>640</v>
      </c>
      <c r="K7" s="4">
        <f t="shared" si="0"/>
        <v>3200</v>
      </c>
      <c r="L7" s="5">
        <f t="shared" si="1"/>
        <v>242</v>
      </c>
      <c r="M7" s="4">
        <f t="shared" si="2"/>
        <v>1210</v>
      </c>
      <c r="N7" s="3">
        <v>46034</v>
      </c>
      <c r="O7" s="3">
        <v>46054</v>
      </c>
    </row>
    <row r="8" spans="1:15" x14ac:dyDescent="0.2">
      <c r="A8" s="2" t="s">
        <v>24</v>
      </c>
      <c r="B8" s="2" t="s">
        <v>25</v>
      </c>
      <c r="C8" s="2" t="s">
        <v>26</v>
      </c>
      <c r="D8" s="2" t="s">
        <v>9</v>
      </c>
      <c r="E8" s="2" t="s">
        <v>11</v>
      </c>
      <c r="F8" s="2" t="s">
        <v>11</v>
      </c>
      <c r="G8" s="4">
        <v>5</v>
      </c>
      <c r="H8" s="5">
        <v>579</v>
      </c>
      <c r="I8" s="4">
        <v>2895</v>
      </c>
      <c r="J8" s="5">
        <v>404</v>
      </c>
      <c r="K8" s="4">
        <f t="shared" si="0"/>
        <v>2020</v>
      </c>
      <c r="L8" s="5">
        <f t="shared" si="1"/>
        <v>-175</v>
      </c>
      <c r="M8" s="4">
        <f t="shared" si="2"/>
        <v>-875</v>
      </c>
      <c r="N8" s="3">
        <v>46034</v>
      </c>
      <c r="O8" s="3">
        <v>46054</v>
      </c>
    </row>
    <row r="9" spans="1:15" x14ac:dyDescent="0.2">
      <c r="A9" s="2" t="s">
        <v>24</v>
      </c>
      <c r="B9" s="2" t="s">
        <v>25</v>
      </c>
      <c r="C9" s="2" t="s">
        <v>26</v>
      </c>
      <c r="D9" s="2" t="s">
        <v>9</v>
      </c>
      <c r="E9" s="2" t="s">
        <v>12</v>
      </c>
      <c r="F9" s="2" t="s">
        <v>12</v>
      </c>
      <c r="G9" s="4">
        <v>10</v>
      </c>
      <c r="H9" s="5">
        <v>219</v>
      </c>
      <c r="I9" s="4">
        <v>2190</v>
      </c>
      <c r="J9" s="5">
        <v>700</v>
      </c>
      <c r="K9" s="4">
        <f t="shared" si="0"/>
        <v>7000</v>
      </c>
      <c r="L9" s="5">
        <f t="shared" si="1"/>
        <v>481</v>
      </c>
      <c r="M9" s="4">
        <f t="shared" si="2"/>
        <v>4810</v>
      </c>
      <c r="N9" s="3">
        <v>46034</v>
      </c>
      <c r="O9" s="3">
        <v>46054</v>
      </c>
    </row>
    <row r="10" spans="1:15" x14ac:dyDescent="0.2">
      <c r="A10" s="2" t="s">
        <v>24</v>
      </c>
      <c r="B10" s="2" t="s">
        <v>25</v>
      </c>
      <c r="C10" s="2" t="s">
        <v>26</v>
      </c>
      <c r="D10" s="2" t="s">
        <v>9</v>
      </c>
      <c r="E10" s="2" t="s">
        <v>17</v>
      </c>
      <c r="F10" s="2" t="s">
        <v>17</v>
      </c>
      <c r="G10" s="4">
        <v>30</v>
      </c>
      <c r="H10" s="5">
        <v>8</v>
      </c>
      <c r="I10" s="4">
        <v>240</v>
      </c>
      <c r="J10" s="5">
        <v>0</v>
      </c>
      <c r="K10" s="4">
        <f t="shared" si="0"/>
        <v>0</v>
      </c>
      <c r="L10" s="5">
        <f t="shared" si="1"/>
        <v>-8</v>
      </c>
      <c r="M10" s="4">
        <f t="shared" si="2"/>
        <v>-240</v>
      </c>
      <c r="N10" s="3">
        <v>46034</v>
      </c>
      <c r="O10" s="3">
        <v>46054</v>
      </c>
    </row>
    <row r="11" spans="1:15" x14ac:dyDescent="0.2">
      <c r="A11" s="2" t="s">
        <v>24</v>
      </c>
      <c r="B11" s="2" t="s">
        <v>25</v>
      </c>
      <c r="C11" s="2" t="s">
        <v>26</v>
      </c>
      <c r="D11" s="2" t="s">
        <v>9</v>
      </c>
      <c r="E11" s="2" t="s">
        <v>18</v>
      </c>
      <c r="F11" s="2" t="s">
        <v>18</v>
      </c>
      <c r="G11" s="4">
        <v>30</v>
      </c>
      <c r="H11" s="5">
        <v>84</v>
      </c>
      <c r="I11" s="4">
        <v>2520</v>
      </c>
      <c r="J11" s="5">
        <v>23</v>
      </c>
      <c r="K11" s="4">
        <f t="shared" si="0"/>
        <v>690</v>
      </c>
      <c r="L11" s="5">
        <f t="shared" si="1"/>
        <v>-61</v>
      </c>
      <c r="M11" s="4">
        <f t="shared" si="2"/>
        <v>-1830</v>
      </c>
      <c r="N11" s="3">
        <v>46034</v>
      </c>
      <c r="O11" s="3">
        <v>46054</v>
      </c>
    </row>
    <row r="12" spans="1:15" x14ac:dyDescent="0.2">
      <c r="A12" s="2" t="s">
        <v>24</v>
      </c>
      <c r="B12" s="2" t="s">
        <v>25</v>
      </c>
      <c r="C12" s="2" t="s">
        <v>26</v>
      </c>
      <c r="D12" s="2" t="s">
        <v>9</v>
      </c>
      <c r="E12" s="2" t="s">
        <v>19</v>
      </c>
      <c r="F12" s="2" t="s">
        <v>19</v>
      </c>
      <c r="G12" s="4">
        <v>80</v>
      </c>
      <c r="H12" s="5">
        <v>289</v>
      </c>
      <c r="I12" s="4">
        <v>23120</v>
      </c>
      <c r="J12" s="5">
        <v>315</v>
      </c>
      <c r="K12" s="4">
        <f t="shared" si="0"/>
        <v>25200</v>
      </c>
      <c r="L12" s="5">
        <f t="shared" si="1"/>
        <v>26</v>
      </c>
      <c r="M12" s="4">
        <f t="shared" si="2"/>
        <v>2080</v>
      </c>
      <c r="N12" s="3">
        <v>46034</v>
      </c>
      <c r="O12" s="3">
        <v>46054</v>
      </c>
    </row>
  </sheetData>
  <autoFilter ref="A1:O12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2026-01-26T16:43:19Z</dcterms:created>
  <dcterms:modified xsi:type="dcterms:W3CDTF">2026-01-27T19:36:32Z</dcterms:modified>
  <cp:category/>
</cp:coreProperties>
</file>