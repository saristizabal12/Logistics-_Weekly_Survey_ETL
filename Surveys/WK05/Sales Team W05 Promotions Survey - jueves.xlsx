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5\"/>
    </mc:Choice>
  </mc:AlternateContent>
  <xr:revisionPtr revIDLastSave="0" documentId="13_ncr:1_{8A916D32-0D01-46D4-BE90-24AE9E86971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As of now" sheetId="13" r:id="rId1"/>
    <sheet name="WE NEED TO SELL" sheetId="14" r:id="rId2"/>
  </sheets>
  <definedNames>
    <definedName name="_xlnm._FilterDatabase" localSheetId="0" hidden="1">'As of now'!$A$1:$N$5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4" l="1"/>
  <c r="L11" i="14"/>
  <c r="L10" i="14"/>
  <c r="L9" i="14"/>
  <c r="L8" i="14"/>
  <c r="L7" i="14"/>
  <c r="L6" i="14"/>
  <c r="L5" i="14"/>
  <c r="L4" i="14"/>
  <c r="L3" i="14"/>
  <c r="L2" i="14"/>
  <c r="J12" i="14"/>
  <c r="G12" i="14"/>
  <c r="J11" i="14"/>
  <c r="G11" i="14"/>
  <c r="J10" i="14"/>
  <c r="G10" i="14"/>
  <c r="J9" i="14"/>
  <c r="G9" i="14"/>
  <c r="J8" i="14"/>
  <c r="G8" i="14"/>
  <c r="J7" i="14"/>
  <c r="G7" i="14"/>
  <c r="J6" i="14"/>
  <c r="G6" i="14"/>
  <c r="J5" i="14"/>
  <c r="G5" i="14"/>
  <c r="J4" i="14"/>
  <c r="G4" i="14"/>
  <c r="J3" i="14"/>
  <c r="G3" i="14"/>
  <c r="J2" i="14"/>
  <c r="G2" i="14"/>
  <c r="J12" i="13" l="1"/>
  <c r="L12" i="13" s="1"/>
  <c r="G12" i="13"/>
  <c r="J11" i="13"/>
  <c r="L11" i="13" s="1"/>
  <c r="G11" i="13"/>
  <c r="J10" i="13"/>
  <c r="L10" i="13" s="1"/>
  <c r="G10" i="13"/>
  <c r="J9" i="13"/>
  <c r="K9" i="13" s="1"/>
  <c r="G9" i="13"/>
  <c r="J8" i="13"/>
  <c r="L8" i="13" s="1"/>
  <c r="G8" i="13"/>
  <c r="J7" i="13"/>
  <c r="L7" i="13" s="1"/>
  <c r="G7" i="13"/>
  <c r="J6" i="13"/>
  <c r="L6" i="13" s="1"/>
  <c r="G6" i="13"/>
  <c r="J5" i="13"/>
  <c r="L5" i="13" s="1"/>
  <c r="J4" i="13"/>
  <c r="L4" i="13" s="1"/>
  <c r="G5" i="13"/>
  <c r="G4" i="13"/>
  <c r="G3" i="13"/>
  <c r="J3" i="13"/>
  <c r="K3" i="13" s="1"/>
  <c r="J2" i="13"/>
  <c r="K2" i="13" s="1"/>
  <c r="G2" i="13"/>
  <c r="P2" i="13" s="1"/>
  <c r="M11" i="13" l="1"/>
  <c r="N11" i="13" s="1"/>
  <c r="K12" i="13"/>
  <c r="M12" i="13"/>
  <c r="N12" i="13" s="1"/>
  <c r="M10" i="13"/>
  <c r="N10" i="13" s="1"/>
  <c r="M6" i="13"/>
  <c r="N6" i="13" s="1"/>
  <c r="M8" i="13"/>
  <c r="N8" i="13" s="1"/>
  <c r="P3" i="13"/>
  <c r="M7" i="13"/>
  <c r="N7" i="13" s="1"/>
  <c r="L9" i="13"/>
  <c r="M9" i="13" s="1"/>
  <c r="N9" i="13" s="1"/>
  <c r="K7" i="13"/>
  <c r="K11" i="13"/>
  <c r="K6" i="13"/>
  <c r="K8" i="13"/>
  <c r="K10" i="13"/>
  <c r="M4" i="13"/>
  <c r="N4" i="13" s="1"/>
  <c r="M5" i="13"/>
  <c r="N5" i="13" s="1"/>
  <c r="K5" i="13"/>
  <c r="K4" i="13"/>
  <c r="L2" i="13"/>
  <c r="Q2" i="13" s="1"/>
  <c r="L3" i="13"/>
  <c r="Q3" i="13" l="1"/>
  <c r="S2" i="13" s="1"/>
  <c r="R2" i="13"/>
  <c r="M2" i="13"/>
  <c r="N2" i="13" s="1"/>
  <c r="M3" i="13"/>
  <c r="N3" i="13" s="1"/>
</calcChain>
</file>

<file path=xl/sharedStrings.xml><?xml version="1.0" encoding="utf-8"?>
<sst xmlns="http://schemas.openxmlformats.org/spreadsheetml/2006/main" count="116" uniqueCount="32">
  <si>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</si>
  <si>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</si>
  <si>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</si>
  <si>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</si>
  <si>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</si>
  <si>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</si>
  <si>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</si>
  <si>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</si>
  <si>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</si>
  <si>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</si>
  <si>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</si>
  <si>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</si>
  <si>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</si>
  <si>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0014</t>
  </si>
  <si>
    <t>0021</t>
  </si>
  <si>
    <t>A0S3A0A260000014</t>
  </si>
  <si>
    <t>A0S3A0A260000021</t>
  </si>
  <si>
    <t>VITEL W3-W5 S25 FE OM ST Promo</t>
  </si>
  <si>
    <t>VITEL W3-W5 VE Special Market Sell-Thru Promotion</t>
  </si>
  <si>
    <t>G-S25-FE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</si>
  <si>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</si>
  <si>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</si>
  <si>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</si>
  <si>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</si>
  <si>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</si>
  <si>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</si>
  <si>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</si>
  <si>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</si>
  <si>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</si>
  <si>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</si>
  <si>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Actual Total</t>
  </si>
  <si>
    <t>how much we have left To 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</si>
</sst>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1" fontId="0" fillId="5" borderId="1" xfId="0" applyNumberFormat="1" applyFill="1" applyBorder="1"/>
    <xf numFmtId="0" fontId="0" fillId="0" borderId="0" xfId="0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12"/>
  <sheetViews>
    <sheetView showGridLines="0" topLeftCell="B1" zoomScale="115" zoomScaleNormal="115" workbookViewId="0">
      <pane ySplit="1" topLeftCell="A2" activePane="bottomLeft" state="frozen"/>
      <selection pane="bottomLeft" activeCell="J2" sqref="J2:J12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2.85546875" bestFit="1" customWidth="1"/>
    <col min="17" max="17" width="13.5703125" bestFit="1" customWidth="1"/>
    <col min="18" max="18" width="11" bestFit="1" customWidth="1"/>
    <col min="19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13</v>
      </c>
      <c r="S1" s="11" t="s">
        <v>14</v>
      </c>
    </row>
    <row r="2" spans="1:19" ht="18" customHeight="1" x14ac:dyDescent="0.2">
      <c r="A2" s="14" t="s">
        <v>15</v>
      </c>
      <c r="B2" s="14" t="s">
        <v>17</v>
      </c>
      <c r="C2" s="14" t="s">
        <v>19</v>
      </c>
      <c r="D2" s="14" t="s">
        <v>19</v>
      </c>
      <c r="E2" s="2">
        <v>70</v>
      </c>
      <c r="F2" s="15">
        <v>1261</v>
      </c>
      <c r="G2" s="2">
        <f t="shared" ref="G2:G5" si="0">E2*F2</f>
        <v>88270</v>
      </c>
      <c r="H2" s="3">
        <v>791</v>
      </c>
      <c r="I2" s="3">
        <v>562</v>
      </c>
      <c r="J2" s="3">
        <f t="shared" ref="J2:J3" si="1">H2+I2</f>
        <v>1353</v>
      </c>
      <c r="K2" s="3">
        <f t="shared" ref="K2:K3" si="2">F2-J2</f>
        <v>-92</v>
      </c>
      <c r="L2" s="4">
        <f t="shared" ref="L2:L3" si="3">J2*E2</f>
        <v>94710</v>
      </c>
      <c r="M2" s="4">
        <f t="shared" ref="M2:M3" si="4">G2-L2</f>
        <v>-6440</v>
      </c>
      <c r="N2" s="13" t="str">
        <f t="shared" ref="N2:N3" si="5">IF(M2&gt;0,"KEEP SELLING", "DO NOT SELL")</f>
        <v>DO NOT SELL</v>
      </c>
      <c r="P2" s="10">
        <f>SUM(G2)</f>
        <v>88270</v>
      </c>
      <c r="Q2" s="9">
        <f>SUM(L2)</f>
        <v>94710</v>
      </c>
      <c r="R2" s="12">
        <f>P2-Q2</f>
        <v>-6440</v>
      </c>
      <c r="S2" s="12">
        <f>P3-Q3</f>
        <v>22165</v>
      </c>
    </row>
    <row r="3" spans="1:19" ht="18" customHeight="1" x14ac:dyDescent="0.2">
      <c r="A3" s="14" t="s">
        <v>16</v>
      </c>
      <c r="B3" s="14" t="s">
        <v>18</v>
      </c>
      <c r="C3" s="14" t="s">
        <v>20</v>
      </c>
      <c r="D3" s="14" t="s">
        <v>20</v>
      </c>
      <c r="E3" s="2">
        <v>5</v>
      </c>
      <c r="F3" s="15">
        <v>1510</v>
      </c>
      <c r="G3" s="2">
        <f t="shared" si="0"/>
        <v>7550</v>
      </c>
      <c r="H3" s="3">
        <v>1110</v>
      </c>
      <c r="I3" s="16"/>
      <c r="J3" s="3">
        <f t="shared" si="1"/>
        <v>1110</v>
      </c>
      <c r="K3" s="3">
        <f t="shared" si="2"/>
        <v>400</v>
      </c>
      <c r="L3" s="4">
        <f t="shared" si="3"/>
        <v>5550</v>
      </c>
      <c r="M3" s="4">
        <f t="shared" si="4"/>
        <v>2000</v>
      </c>
      <c r="N3" s="13" t="str">
        <f t="shared" si="5"/>
        <v>KEEP SELLING</v>
      </c>
      <c r="P3" s="10">
        <f>SUM(G3:G12)</f>
        <v>62755</v>
      </c>
      <c r="Q3" s="9">
        <f>SUM(L3:L12)</f>
        <v>40590</v>
      </c>
    </row>
    <row r="4" spans="1:19" ht="18" customHeight="1" x14ac:dyDescent="0.2">
      <c r="A4" s="14" t="s">
        <v>16</v>
      </c>
      <c r="B4" s="14" t="s">
        <v>18</v>
      </c>
      <c r="C4" s="14" t="s">
        <v>21</v>
      </c>
      <c r="D4" s="14" t="s">
        <v>21</v>
      </c>
      <c r="E4" s="2">
        <v>5</v>
      </c>
      <c r="F4" s="15">
        <v>980</v>
      </c>
      <c r="G4" s="2">
        <f t="shared" si="0"/>
        <v>4900</v>
      </c>
      <c r="H4" s="3">
        <v>680</v>
      </c>
      <c r="I4" s="16"/>
      <c r="J4" s="3">
        <f t="shared" ref="J4:J5" si="6">H4+I4</f>
        <v>680</v>
      </c>
      <c r="K4" s="3">
        <f t="shared" ref="K4:K5" si="7">F4-J4</f>
        <v>300</v>
      </c>
      <c r="L4" s="4">
        <f t="shared" ref="L4:L5" si="8">J4*E4</f>
        <v>3400</v>
      </c>
      <c r="M4" s="4">
        <f t="shared" ref="M4:M5" si="9">G4-L4</f>
        <v>1500</v>
      </c>
      <c r="N4" s="13" t="str">
        <f t="shared" ref="N4:N5" si="10">IF(M4&gt;0,"KEEP SELLING", "DO NOT SELL")</f>
        <v>KEEP SELLING</v>
      </c>
      <c r="P4" s="10"/>
      <c r="Q4" s="9"/>
    </row>
    <row r="5" spans="1:19" ht="18" customHeight="1" x14ac:dyDescent="0.2">
      <c r="A5" s="14" t="s">
        <v>16</v>
      </c>
      <c r="B5" s="14" t="s">
        <v>18</v>
      </c>
      <c r="C5" s="14" t="s">
        <v>22</v>
      </c>
      <c r="D5" s="14" t="s">
        <v>22</v>
      </c>
      <c r="E5" s="2">
        <v>2</v>
      </c>
      <c r="F5" s="15">
        <v>3810</v>
      </c>
      <c r="G5" s="2">
        <f t="shared" si="0"/>
        <v>7620</v>
      </c>
      <c r="H5" s="3">
        <v>3610</v>
      </c>
      <c r="I5" s="16">
        <v>100</v>
      </c>
      <c r="J5" s="3">
        <f t="shared" si="6"/>
        <v>3710</v>
      </c>
      <c r="K5" s="3">
        <f t="shared" si="7"/>
        <v>100</v>
      </c>
      <c r="L5" s="4">
        <f t="shared" si="8"/>
        <v>7420</v>
      </c>
      <c r="M5" s="4">
        <f t="shared" si="9"/>
        <v>200</v>
      </c>
      <c r="N5" s="13" t="str">
        <f t="shared" si="10"/>
        <v>KEEP SELLING</v>
      </c>
      <c r="P5" s="10"/>
      <c r="Q5" s="9"/>
    </row>
    <row r="6" spans="1:19" ht="18" customHeight="1" x14ac:dyDescent="0.2">
      <c r="A6" s="14" t="s">
        <v>16</v>
      </c>
      <c r="B6" s="14" t="s">
        <v>18</v>
      </c>
      <c r="C6" s="14" t="s">
        <v>23</v>
      </c>
      <c r="D6" s="14" t="s">
        <v>23</v>
      </c>
      <c r="E6" s="2">
        <v>5</v>
      </c>
      <c r="F6" s="15">
        <v>915</v>
      </c>
      <c r="G6" s="2">
        <f t="shared" ref="G6:G12" si="11">E6*F6</f>
        <v>4575</v>
      </c>
      <c r="H6" s="3">
        <v>715</v>
      </c>
      <c r="I6" s="16">
        <v>190</v>
      </c>
      <c r="J6" s="3">
        <f t="shared" ref="J6:J12" si="12">H6+I6</f>
        <v>905</v>
      </c>
      <c r="K6" s="3">
        <f t="shared" ref="K6:K12" si="13">F6-J6</f>
        <v>10</v>
      </c>
      <c r="L6" s="4">
        <f t="shared" ref="L6:L12" si="14">J6*E6</f>
        <v>4525</v>
      </c>
      <c r="M6" s="4">
        <f t="shared" ref="M6:M12" si="15">G6-L6</f>
        <v>50</v>
      </c>
      <c r="N6" s="13" t="str">
        <f t="shared" ref="N6:N12" si="16">IF(M6&gt;0,"KEEP SELLING", "DO NOT SELL")</f>
        <v>KEEP SELLING</v>
      </c>
    </row>
    <row r="7" spans="1:19" ht="18" customHeight="1" x14ac:dyDescent="0.2">
      <c r="A7" s="14" t="s">
        <v>16</v>
      </c>
      <c r="B7" s="14" t="s">
        <v>18</v>
      </c>
      <c r="C7" s="14" t="s">
        <v>24</v>
      </c>
      <c r="D7" s="14" t="s">
        <v>24</v>
      </c>
      <c r="E7" s="2">
        <v>5</v>
      </c>
      <c r="F7" s="15">
        <v>640</v>
      </c>
      <c r="G7" s="2">
        <f t="shared" si="11"/>
        <v>3200</v>
      </c>
      <c r="H7" s="3">
        <v>40</v>
      </c>
      <c r="I7" s="16">
        <v>351</v>
      </c>
      <c r="J7" s="3">
        <f t="shared" si="12"/>
        <v>391</v>
      </c>
      <c r="K7" s="3">
        <f t="shared" si="13"/>
        <v>249</v>
      </c>
      <c r="L7" s="4">
        <f t="shared" si="14"/>
        <v>1955</v>
      </c>
      <c r="M7" s="4">
        <f t="shared" si="15"/>
        <v>1245</v>
      </c>
      <c r="N7" s="13" t="str">
        <f t="shared" si="16"/>
        <v>KEEP SELLING</v>
      </c>
    </row>
    <row r="8" spans="1:19" ht="18" customHeight="1" x14ac:dyDescent="0.2">
      <c r="A8" s="14" t="s">
        <v>16</v>
      </c>
      <c r="B8" s="14" t="s">
        <v>18</v>
      </c>
      <c r="C8" s="14" t="s">
        <v>25</v>
      </c>
      <c r="D8" s="14" t="s">
        <v>25</v>
      </c>
      <c r="E8" s="2">
        <v>5</v>
      </c>
      <c r="F8" s="15">
        <v>404</v>
      </c>
      <c r="G8" s="2">
        <f t="shared" si="11"/>
        <v>2020</v>
      </c>
      <c r="H8" s="3">
        <v>224</v>
      </c>
      <c r="I8" s="16">
        <v>210</v>
      </c>
      <c r="J8" s="3">
        <f t="shared" si="12"/>
        <v>434</v>
      </c>
      <c r="K8" s="3">
        <f t="shared" si="13"/>
        <v>-30</v>
      </c>
      <c r="L8" s="4">
        <f t="shared" si="14"/>
        <v>2170</v>
      </c>
      <c r="M8" s="4">
        <f t="shared" si="15"/>
        <v>-150</v>
      </c>
      <c r="N8" s="13" t="str">
        <f t="shared" si="16"/>
        <v>DO NOT SELL</v>
      </c>
    </row>
    <row r="9" spans="1:19" ht="18" customHeight="1" x14ac:dyDescent="0.2">
      <c r="A9" s="14" t="s">
        <v>16</v>
      </c>
      <c r="B9" s="14" t="s">
        <v>18</v>
      </c>
      <c r="C9" s="14" t="s">
        <v>26</v>
      </c>
      <c r="D9" s="14" t="s">
        <v>26</v>
      </c>
      <c r="E9" s="2">
        <v>10</v>
      </c>
      <c r="F9" s="15">
        <v>700</v>
      </c>
      <c r="G9" s="2">
        <f t="shared" si="11"/>
        <v>7000</v>
      </c>
      <c r="H9" s="3">
        <v>90</v>
      </c>
      <c r="I9" s="16">
        <v>446</v>
      </c>
      <c r="J9" s="3">
        <f t="shared" si="12"/>
        <v>536</v>
      </c>
      <c r="K9" s="3">
        <f t="shared" si="13"/>
        <v>164</v>
      </c>
      <c r="L9" s="4">
        <f t="shared" si="14"/>
        <v>5360</v>
      </c>
      <c r="M9" s="4">
        <f t="shared" si="15"/>
        <v>1640</v>
      </c>
      <c r="N9" s="13" t="str">
        <f t="shared" si="16"/>
        <v>KEEP SELLING</v>
      </c>
    </row>
    <row r="10" spans="1:19" ht="18" customHeight="1" x14ac:dyDescent="0.2">
      <c r="A10" s="14" t="s">
        <v>16</v>
      </c>
      <c r="B10" s="14" t="s">
        <v>18</v>
      </c>
      <c r="C10" s="14" t="s">
        <v>27</v>
      </c>
      <c r="D10" s="14" t="s">
        <v>27</v>
      </c>
      <c r="E10" s="2">
        <v>30</v>
      </c>
      <c r="F10" s="15">
        <v>0</v>
      </c>
      <c r="G10" s="2">
        <f t="shared" si="11"/>
        <v>0</v>
      </c>
      <c r="H10" s="3"/>
      <c r="I10" s="3"/>
      <c r="J10" s="3">
        <f t="shared" si="12"/>
        <v>0</v>
      </c>
      <c r="K10" s="3">
        <f t="shared" si="13"/>
        <v>0</v>
      </c>
      <c r="L10" s="4">
        <f t="shared" si="14"/>
        <v>0</v>
      </c>
      <c r="M10" s="4">
        <f t="shared" si="15"/>
        <v>0</v>
      </c>
      <c r="N10" s="13" t="str">
        <f t="shared" si="16"/>
        <v>DO NOT SELL</v>
      </c>
    </row>
    <row r="11" spans="1:19" ht="18" customHeight="1" x14ac:dyDescent="0.2">
      <c r="A11" s="14" t="s">
        <v>16</v>
      </c>
      <c r="B11" s="14" t="s">
        <v>18</v>
      </c>
      <c r="C11" s="14" t="s">
        <v>28</v>
      </c>
      <c r="D11" s="14" t="s">
        <v>28</v>
      </c>
      <c r="E11" s="2">
        <v>30</v>
      </c>
      <c r="F11" s="15">
        <v>23</v>
      </c>
      <c r="G11" s="2">
        <f t="shared" si="11"/>
        <v>690</v>
      </c>
      <c r="H11" s="3">
        <v>23</v>
      </c>
      <c r="I11" s="3"/>
      <c r="J11" s="3">
        <f t="shared" si="12"/>
        <v>23</v>
      </c>
      <c r="K11" s="3">
        <f t="shared" si="13"/>
        <v>0</v>
      </c>
      <c r="L11" s="4">
        <f t="shared" si="14"/>
        <v>690</v>
      </c>
      <c r="M11" s="4">
        <f t="shared" si="15"/>
        <v>0</v>
      </c>
      <c r="N11" s="13" t="str">
        <f t="shared" si="16"/>
        <v>DO NOT SELL</v>
      </c>
    </row>
    <row r="12" spans="1:19" ht="18" customHeight="1" x14ac:dyDescent="0.2">
      <c r="A12" s="14" t="s">
        <v>16</v>
      </c>
      <c r="B12" s="14" t="s">
        <v>18</v>
      </c>
      <c r="C12" s="14" t="s">
        <v>29</v>
      </c>
      <c r="D12" s="14" t="s">
        <v>29</v>
      </c>
      <c r="E12" s="2">
        <v>80</v>
      </c>
      <c r="F12" s="15">
        <v>315</v>
      </c>
      <c r="G12" s="2">
        <f t="shared" si="11"/>
        <v>25200</v>
      </c>
      <c r="H12" s="3">
        <v>82</v>
      </c>
      <c r="I12" s="16">
        <v>37</v>
      </c>
      <c r="J12" s="3">
        <f t="shared" si="12"/>
        <v>119</v>
      </c>
      <c r="K12" s="3">
        <f t="shared" si="13"/>
        <v>196</v>
      </c>
      <c r="L12" s="4">
        <f t="shared" si="14"/>
        <v>9520</v>
      </c>
      <c r="M12" s="4">
        <f t="shared" si="15"/>
        <v>15680</v>
      </c>
      <c r="N12" s="13" t="str">
        <f t="shared" si="16"/>
        <v>KEEP SELLING</v>
      </c>
    </row>
  </sheetData>
  <conditionalFormatting sqref="H2:I12 K2:N12">
    <cfRule type="cellIs" dxfId="3" priority="1" operator="lessThan">
      <formula>0</formula>
    </cfRule>
  </conditionalFormatting>
  <conditionalFormatting sqref="N1:N1048576">
    <cfRule type="containsText" dxfId="2" priority="25" operator="containsText" text="DO NOT SELL">
      <formula>NOT(ISERROR(SEARCH("DO NOT SELL",N1)))</formula>
    </cfRule>
    <cfRule type="containsText" dxfId="1" priority="2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2DF7-B54F-4F94-8ED1-8A6DF5AF90E2}">
  <dimension ref="A1:L12"/>
  <sheetViews>
    <sheetView tabSelected="1" zoomScale="130" zoomScaleNormal="130" workbookViewId="0">
      <selection activeCell="J10" sqref="J10"/>
    </sheetView>
  </sheetViews>
  <sheetFormatPr defaultRowHeight="12.75" x14ac:dyDescent="0.2"/>
  <cols>
    <col min="1" max="1" width="20.140625" bestFit="1" customWidth="1"/>
    <col min="2" max="2" width="43.140625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7.42578125" bestFit="1" customWidth="1"/>
    <col min="9" max="9" width="7.5703125" bestFit="1" customWidth="1"/>
    <col min="10" max="10" width="5" bestFit="1" customWidth="1"/>
    <col min="11" max="11" width="10.140625" bestFit="1" customWidth="1"/>
    <col min="12" max="12" width="31.28515625" style="17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30</v>
      </c>
      <c r="L1" s="19" t="s">
        <v>31</v>
      </c>
    </row>
    <row r="2" spans="1:12" ht="15.75" x14ac:dyDescent="0.25">
      <c r="A2" s="14" t="s">
        <v>15</v>
      </c>
      <c r="B2" s="14" t="s">
        <v>17</v>
      </c>
      <c r="C2" s="14" t="s">
        <v>19</v>
      </c>
      <c r="D2" s="14" t="s">
        <v>19</v>
      </c>
      <c r="E2" s="2">
        <v>70</v>
      </c>
      <c r="F2" s="15">
        <v>105</v>
      </c>
      <c r="G2" s="2">
        <f t="shared" ref="G2:G12" si="0">E2*F2</f>
        <v>7350</v>
      </c>
      <c r="H2" s="3">
        <v>781</v>
      </c>
      <c r="I2" s="3">
        <v>480</v>
      </c>
      <c r="J2" s="3">
        <f t="shared" ref="J2:J12" si="1">H2+I2</f>
        <v>1261</v>
      </c>
      <c r="K2" s="3">
        <v>1353</v>
      </c>
      <c r="L2" s="18">
        <f>J2-K2</f>
        <v>-92</v>
      </c>
    </row>
    <row r="3" spans="1:12" ht="15.75" x14ac:dyDescent="0.25">
      <c r="A3" s="14" t="s">
        <v>16</v>
      </c>
      <c r="B3" s="14" t="s">
        <v>18</v>
      </c>
      <c r="C3" s="14" t="s">
        <v>20</v>
      </c>
      <c r="D3" s="14" t="s">
        <v>20</v>
      </c>
      <c r="E3" s="2">
        <v>5</v>
      </c>
      <c r="F3" s="15">
        <v>4565</v>
      </c>
      <c r="G3" s="2">
        <f t="shared" si="0"/>
        <v>22825</v>
      </c>
      <c r="H3" s="3">
        <v>510</v>
      </c>
      <c r="I3" s="16">
        <v>1000</v>
      </c>
      <c r="J3" s="3">
        <f t="shared" si="1"/>
        <v>1510</v>
      </c>
      <c r="K3" s="3">
        <v>1110</v>
      </c>
      <c r="L3" s="18">
        <f t="shared" ref="L3:L12" si="2">J3-K3</f>
        <v>400</v>
      </c>
    </row>
    <row r="4" spans="1:12" ht="15.75" x14ac:dyDescent="0.25">
      <c r="A4" s="14" t="s">
        <v>16</v>
      </c>
      <c r="B4" s="14" t="s">
        <v>18</v>
      </c>
      <c r="C4" s="14" t="s">
        <v>21</v>
      </c>
      <c r="D4" s="14" t="s">
        <v>21</v>
      </c>
      <c r="E4" s="2">
        <v>5</v>
      </c>
      <c r="F4" s="15">
        <v>1422</v>
      </c>
      <c r="G4" s="2">
        <f t="shared" si="0"/>
        <v>7110</v>
      </c>
      <c r="H4" s="3">
        <v>680</v>
      </c>
      <c r="I4" s="16">
        <v>300</v>
      </c>
      <c r="J4" s="3">
        <f t="shared" si="1"/>
        <v>980</v>
      </c>
      <c r="K4" s="3">
        <v>680</v>
      </c>
      <c r="L4" s="18">
        <f t="shared" si="2"/>
        <v>300</v>
      </c>
    </row>
    <row r="5" spans="1:12" ht="15.75" x14ac:dyDescent="0.25">
      <c r="A5" s="14" t="s">
        <v>16</v>
      </c>
      <c r="B5" s="14" t="s">
        <v>18</v>
      </c>
      <c r="C5" s="14" t="s">
        <v>22</v>
      </c>
      <c r="D5" s="14" t="s">
        <v>22</v>
      </c>
      <c r="E5" s="2">
        <v>2</v>
      </c>
      <c r="F5" s="15">
        <v>2663</v>
      </c>
      <c r="G5" s="2">
        <f t="shared" si="0"/>
        <v>5326</v>
      </c>
      <c r="H5" s="3">
        <v>2810</v>
      </c>
      <c r="I5" s="16">
        <v>1000</v>
      </c>
      <c r="J5" s="3">
        <f t="shared" si="1"/>
        <v>3810</v>
      </c>
      <c r="K5" s="3">
        <v>3710</v>
      </c>
      <c r="L5" s="18">
        <f t="shared" si="2"/>
        <v>100</v>
      </c>
    </row>
    <row r="6" spans="1:12" ht="15.75" x14ac:dyDescent="0.25">
      <c r="A6" s="14" t="s">
        <v>16</v>
      </c>
      <c r="B6" s="14" t="s">
        <v>18</v>
      </c>
      <c r="C6" s="14" t="s">
        <v>23</v>
      </c>
      <c r="D6" s="14" t="s">
        <v>23</v>
      </c>
      <c r="E6" s="2">
        <v>5</v>
      </c>
      <c r="F6" s="15">
        <v>1183</v>
      </c>
      <c r="G6" s="2">
        <f t="shared" si="0"/>
        <v>5915</v>
      </c>
      <c r="H6" s="3">
        <v>595</v>
      </c>
      <c r="I6" s="16">
        <v>320</v>
      </c>
      <c r="J6" s="3">
        <f t="shared" si="1"/>
        <v>915</v>
      </c>
      <c r="K6" s="3">
        <v>905</v>
      </c>
      <c r="L6" s="18">
        <f t="shared" si="2"/>
        <v>10</v>
      </c>
    </row>
    <row r="7" spans="1:12" ht="15.75" x14ac:dyDescent="0.25">
      <c r="A7" s="14" t="s">
        <v>16</v>
      </c>
      <c r="B7" s="14" t="s">
        <v>18</v>
      </c>
      <c r="C7" s="14" t="s">
        <v>24</v>
      </c>
      <c r="D7" s="14" t="s">
        <v>24</v>
      </c>
      <c r="E7" s="2">
        <v>5</v>
      </c>
      <c r="F7" s="15">
        <v>398</v>
      </c>
      <c r="G7" s="2">
        <f t="shared" si="0"/>
        <v>1990</v>
      </c>
      <c r="H7" s="3"/>
      <c r="I7" s="16">
        <v>640</v>
      </c>
      <c r="J7" s="3">
        <f t="shared" si="1"/>
        <v>640</v>
      </c>
      <c r="K7" s="3">
        <v>391</v>
      </c>
      <c r="L7" s="18">
        <f t="shared" si="2"/>
        <v>249</v>
      </c>
    </row>
    <row r="8" spans="1:12" ht="15.75" x14ac:dyDescent="0.25">
      <c r="A8" s="14" t="s">
        <v>16</v>
      </c>
      <c r="B8" s="14" t="s">
        <v>18</v>
      </c>
      <c r="C8" s="14" t="s">
        <v>25</v>
      </c>
      <c r="D8" s="14" t="s">
        <v>25</v>
      </c>
      <c r="E8" s="2">
        <v>5</v>
      </c>
      <c r="F8" s="15">
        <v>579</v>
      </c>
      <c r="G8" s="2">
        <f t="shared" si="0"/>
        <v>2895</v>
      </c>
      <c r="H8" s="3">
        <v>184</v>
      </c>
      <c r="I8" s="16">
        <v>220</v>
      </c>
      <c r="J8" s="3">
        <f t="shared" si="1"/>
        <v>404</v>
      </c>
      <c r="K8" s="3">
        <v>434</v>
      </c>
      <c r="L8" s="18">
        <f t="shared" si="2"/>
        <v>-30</v>
      </c>
    </row>
    <row r="9" spans="1:12" ht="15.75" x14ac:dyDescent="0.25">
      <c r="A9" s="14" t="s">
        <v>16</v>
      </c>
      <c r="B9" s="14" t="s">
        <v>18</v>
      </c>
      <c r="C9" s="14" t="s">
        <v>26</v>
      </c>
      <c r="D9" s="14" t="s">
        <v>26</v>
      </c>
      <c r="E9" s="2">
        <v>10</v>
      </c>
      <c r="F9" s="15">
        <v>219</v>
      </c>
      <c r="G9" s="2">
        <f t="shared" si="0"/>
        <v>2190</v>
      </c>
      <c r="H9" s="3"/>
      <c r="I9" s="16">
        <v>700</v>
      </c>
      <c r="J9" s="3">
        <f t="shared" si="1"/>
        <v>700</v>
      </c>
      <c r="K9" s="3">
        <v>536</v>
      </c>
      <c r="L9" s="18">
        <f t="shared" si="2"/>
        <v>164</v>
      </c>
    </row>
    <row r="10" spans="1:12" ht="15.75" x14ac:dyDescent="0.25">
      <c r="A10" s="14" t="s">
        <v>16</v>
      </c>
      <c r="B10" s="14" t="s">
        <v>18</v>
      </c>
      <c r="C10" s="14" t="s">
        <v>27</v>
      </c>
      <c r="D10" s="14" t="s">
        <v>27</v>
      </c>
      <c r="E10" s="2">
        <v>30</v>
      </c>
      <c r="F10" s="15">
        <v>8</v>
      </c>
      <c r="G10" s="2">
        <f t="shared" si="0"/>
        <v>240</v>
      </c>
      <c r="H10" s="3"/>
      <c r="I10" s="3"/>
      <c r="J10" s="3">
        <f t="shared" si="1"/>
        <v>0</v>
      </c>
      <c r="K10" s="3">
        <v>0</v>
      </c>
      <c r="L10" s="18">
        <f t="shared" si="2"/>
        <v>0</v>
      </c>
    </row>
    <row r="11" spans="1:12" ht="15.75" x14ac:dyDescent="0.25">
      <c r="A11" s="14" t="s">
        <v>16</v>
      </c>
      <c r="B11" s="14" t="s">
        <v>18</v>
      </c>
      <c r="C11" s="14" t="s">
        <v>28</v>
      </c>
      <c r="D11" s="14" t="s">
        <v>28</v>
      </c>
      <c r="E11" s="2">
        <v>30</v>
      </c>
      <c r="F11" s="15">
        <v>84</v>
      </c>
      <c r="G11" s="2">
        <f t="shared" si="0"/>
        <v>2520</v>
      </c>
      <c r="H11" s="3">
        <v>23</v>
      </c>
      <c r="I11" s="3"/>
      <c r="J11" s="3">
        <f t="shared" si="1"/>
        <v>23</v>
      </c>
      <c r="K11" s="3">
        <v>23</v>
      </c>
      <c r="L11" s="18">
        <f t="shared" si="2"/>
        <v>0</v>
      </c>
    </row>
    <row r="12" spans="1:12" ht="15.75" x14ac:dyDescent="0.25">
      <c r="A12" s="14" t="s">
        <v>16</v>
      </c>
      <c r="B12" s="14" t="s">
        <v>18</v>
      </c>
      <c r="C12" s="14" t="s">
        <v>29</v>
      </c>
      <c r="D12" s="14" t="s">
        <v>29</v>
      </c>
      <c r="E12" s="2">
        <v>80</v>
      </c>
      <c r="F12" s="15">
        <v>289</v>
      </c>
      <c r="G12" s="2">
        <f t="shared" si="0"/>
        <v>23120</v>
      </c>
      <c r="H12" s="3">
        <v>72</v>
      </c>
      <c r="I12" s="16">
        <v>243</v>
      </c>
      <c r="J12" s="3">
        <f t="shared" si="1"/>
        <v>315</v>
      </c>
      <c r="K12" s="3">
        <v>119</v>
      </c>
      <c r="L12" s="18">
        <f t="shared" si="2"/>
        <v>196</v>
      </c>
    </row>
  </sheetData>
  <conditionalFormatting sqref="H2:I12 L2:L1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WE NEED TO SELL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2026-01-29T23:02:28Z</dcterms:modified>
  <cp:category/>
  <cp:contentStatus/>
</cp:coreProperties>
</file>