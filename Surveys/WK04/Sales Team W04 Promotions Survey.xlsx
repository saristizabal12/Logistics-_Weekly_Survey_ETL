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4\"/>
    </mc:Choice>
  </mc:AlternateContent>
  <xr:revisionPtr revIDLastSave="0" documentId="13_ncr:1_{5CE88733-8AE5-4385-8D50-0C1C923EB727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ending to samsung" sheetId="14" r:id="rId1"/>
    <sheet name="As of now" sheetId="13" r:id="rId2"/>
  </sheets>
  <definedNames>
    <definedName name="_xlnm._FilterDatabase" localSheetId="1" hidden="1">'As of now'!$A$1:$N$4</definedName>
    <definedName name="_xlnm._FilterDatabase" localSheetId="0" hidden="1">'sending to samsung'!$A$1:$N$4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4" l="1"/>
  <c r="K4" i="14" s="1"/>
  <c r="J3" i="14"/>
  <c r="J2" i="14"/>
  <c r="K3" i="14"/>
  <c r="K2" i="14"/>
  <c r="J4" i="13" l="1"/>
  <c r="L4" i="13" s="1"/>
  <c r="L4" i="14"/>
  <c r="G4" i="14"/>
  <c r="M4" i="14" s="1"/>
  <c r="N4" i="14" s="1"/>
  <c r="L3" i="14"/>
  <c r="G3" i="14"/>
  <c r="G2" i="14"/>
  <c r="G4" i="13"/>
  <c r="G3" i="13"/>
  <c r="J3" i="13"/>
  <c r="K3" i="13" s="1"/>
  <c r="J2" i="13"/>
  <c r="K2" i="13" s="1"/>
  <c r="G2" i="13"/>
  <c r="P2" i="14" l="1"/>
  <c r="M3" i="14"/>
  <c r="N3" i="14" s="1"/>
  <c r="L2" i="14"/>
  <c r="Q2" i="14" s="1"/>
  <c r="R2" i="14" s="1"/>
  <c r="P2" i="13"/>
  <c r="M4" i="13"/>
  <c r="N4" i="13" s="1"/>
  <c r="K4" i="13"/>
  <c r="L2" i="13"/>
  <c r="L3" i="13"/>
  <c r="M2" i="14" l="1"/>
  <c r="N2" i="14" s="1"/>
  <c r="Q2" i="13"/>
  <c r="R2" i="13" s="1"/>
  <c r="M2" i="13"/>
  <c r="N2" i="13" s="1"/>
  <c r="M3" i="13"/>
  <c r="N3" i="13" s="1"/>
</calcChain>
</file>

<file path=xl/sharedStrings.xml><?xml version="1.0" encoding="utf-8"?>
<sst xmlns="http://schemas.openxmlformats.org/spreadsheetml/2006/main" count="52" uniqueCount="19">
  <si>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</si>
  <si>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</si>
  <si>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</si>
  <si>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</si>
  <si>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</si>
  <si>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</si>
  <si>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</si>
  <si>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</si>
  <si>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</si>
  <si>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</si>
  <si>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</si>
  <si>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</si>
  <si>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</si>
  <si>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VITEL W52-W2 Foldables Series Sustain ST Promo</t>
  </si>
  <si>
    <t>A0S3A0A250001307</t>
  </si>
  <si>
    <t>A0S3A0A250001317</t>
  </si>
  <si>
    <t>G-Z-FLIP7</t>
  </si>
  <si>
    <t>G-Z-FLIP7-FE</t>
  </si>
  <si>
    <t>G-Z-FOLD7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</si>
</sst>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0" fontId="2" fillId="0" borderId="1" xfId="0" applyFont="1" applyBorder="1"/>
    <xf numFmtId="0" fontId="2" fillId="0" borderId="1" xfId="2" applyBorder="1"/>
    <xf numFmtId="44" fontId="0" fillId="4" borderId="1" xfId="0" applyNumberFormat="1" applyFill="1" applyBorder="1"/>
    <xf numFmtId="1" fontId="2" fillId="3" borderId="1" xfId="0" applyNumberFormat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R4"/>
  <sheetViews>
    <sheetView showGridLines="0" tabSelected="1" topLeftCell="B1" zoomScale="130" zoomScaleNormal="130" workbookViewId="0">
      <pane ySplit="1" topLeftCell="A2" activePane="bottomLeft" state="frozen"/>
      <selection pane="bottomLeft" activeCell="I4" sqref="I4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</cols>
  <sheetData>
    <row r="1" spans="1:18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>
        <v>1322</v>
      </c>
    </row>
    <row r="2" spans="1:18" ht="18" customHeight="1" x14ac:dyDescent="0.2">
      <c r="A2" s="16" t="s">
        <v>14</v>
      </c>
      <c r="B2" s="14" t="s">
        <v>13</v>
      </c>
      <c r="C2" s="17" t="s">
        <v>16</v>
      </c>
      <c r="D2" s="17" t="s">
        <v>16</v>
      </c>
      <c r="E2" s="18">
        <v>80</v>
      </c>
      <c r="F2" s="15">
        <v>50</v>
      </c>
      <c r="G2" s="2">
        <f t="shared" ref="G2:G4" si="0">E2*F2</f>
        <v>4000</v>
      </c>
      <c r="H2" s="3">
        <v>15</v>
      </c>
      <c r="I2" s="3">
        <v>20</v>
      </c>
      <c r="J2" s="19">
        <f>H2+I2</f>
        <v>35</v>
      </c>
      <c r="K2" s="3">
        <f>F2-J2</f>
        <v>15</v>
      </c>
      <c r="L2" s="4">
        <f t="shared" ref="L2:L4" si="1">J2*E2</f>
        <v>2800</v>
      </c>
      <c r="M2" s="4">
        <f t="shared" ref="M2:M4" si="2">G2-L2</f>
        <v>1200</v>
      </c>
      <c r="N2" s="13" t="str">
        <f t="shared" ref="N2:N4" si="3">IF(M2&gt;0,"KEEP SELLING", "DO NOT SELL")</f>
        <v>KEEP SELLING</v>
      </c>
      <c r="P2" s="10">
        <f>SUM(G2:G4)</f>
        <v>13100</v>
      </c>
      <c r="Q2" s="9">
        <f>SUM(L2:L4)</f>
        <v>6640</v>
      </c>
      <c r="R2" s="12">
        <f>P2-Q2</f>
        <v>6460</v>
      </c>
    </row>
    <row r="3" spans="1:18" ht="18" customHeight="1" x14ac:dyDescent="0.2">
      <c r="A3" s="16" t="s">
        <v>15</v>
      </c>
      <c r="B3" s="14" t="s">
        <v>13</v>
      </c>
      <c r="C3" s="17" t="s">
        <v>17</v>
      </c>
      <c r="D3" s="17" t="s">
        <v>17</v>
      </c>
      <c r="E3" s="18">
        <v>120</v>
      </c>
      <c r="F3" s="15">
        <v>25</v>
      </c>
      <c r="G3" s="2">
        <f t="shared" si="0"/>
        <v>3000</v>
      </c>
      <c r="H3" s="3">
        <v>2</v>
      </c>
      <c r="I3" s="3"/>
      <c r="J3" s="19">
        <f t="shared" ref="J3:J4" si="4">H3+I3</f>
        <v>2</v>
      </c>
      <c r="K3" s="3">
        <f t="shared" ref="K3:K4" si="5">F3-J3</f>
        <v>23</v>
      </c>
      <c r="L3" s="4">
        <f t="shared" si="1"/>
        <v>240</v>
      </c>
      <c r="M3" s="4">
        <f t="shared" si="2"/>
        <v>2760</v>
      </c>
      <c r="N3" s="13" t="str">
        <f t="shared" si="3"/>
        <v>KEEP SELLING</v>
      </c>
      <c r="P3" s="10"/>
      <c r="Q3" s="9"/>
    </row>
    <row r="4" spans="1:18" ht="18" customHeight="1" x14ac:dyDescent="0.2">
      <c r="A4" s="14" t="s">
        <v>15</v>
      </c>
      <c r="B4" s="14" t="s">
        <v>13</v>
      </c>
      <c r="C4" s="17" t="s">
        <v>18</v>
      </c>
      <c r="D4" s="17" t="s">
        <v>18</v>
      </c>
      <c r="E4" s="18">
        <v>100</v>
      </c>
      <c r="F4" s="15">
        <v>61</v>
      </c>
      <c r="G4" s="2">
        <f t="shared" si="0"/>
        <v>6100</v>
      </c>
      <c r="H4" s="3">
        <v>6</v>
      </c>
      <c r="I4" s="3">
        <v>30</v>
      </c>
      <c r="J4" s="19">
        <f t="shared" si="4"/>
        <v>36</v>
      </c>
      <c r="K4" s="3">
        <f t="shared" si="5"/>
        <v>25</v>
      </c>
      <c r="L4" s="4">
        <f t="shared" si="1"/>
        <v>3600</v>
      </c>
      <c r="M4" s="4">
        <f t="shared" si="2"/>
        <v>2500</v>
      </c>
      <c r="N4" s="13" t="str">
        <f t="shared" si="3"/>
        <v>KEEP SELLING</v>
      </c>
      <c r="P4" s="10"/>
      <c r="Q4" s="9"/>
    </row>
  </sheetData>
  <conditionalFormatting sqref="H2:N4">
    <cfRule type="cellIs" dxfId="5" priority="1" operator="lessThan">
      <formula>0</formula>
    </cfRule>
  </conditionalFormatting>
  <conditionalFormatting sqref="N1:N1048576">
    <cfRule type="containsText" dxfId="4" priority="3" operator="containsText" text="DO NOT SELL">
      <formula>NOT(ISERROR(SEARCH("DO NOT SELL",N1)))</formula>
    </cfRule>
    <cfRule type="containsText" dxfId="3" priority="4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R4"/>
  <sheetViews>
    <sheetView showGridLines="0" topLeftCell="B1" zoomScale="130" zoomScaleNormal="130" workbookViewId="0">
      <pane ySplit="1" topLeftCell="A2" activePane="bottomLeft" state="frozen"/>
      <selection pane="bottomLeft" activeCell="J3" sqref="J3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</cols>
  <sheetData>
    <row r="1" spans="1:18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>
        <v>1322</v>
      </c>
    </row>
    <row r="2" spans="1:18" ht="18" customHeight="1" x14ac:dyDescent="0.2">
      <c r="A2" s="16" t="s">
        <v>14</v>
      </c>
      <c r="B2" s="14" t="s">
        <v>13</v>
      </c>
      <c r="C2" s="17" t="s">
        <v>16</v>
      </c>
      <c r="D2" s="17" t="s">
        <v>16</v>
      </c>
      <c r="E2" s="18">
        <v>80</v>
      </c>
      <c r="F2" s="15">
        <v>1</v>
      </c>
      <c r="G2" s="2">
        <f t="shared" ref="G2:G4" si="0">E2*F2</f>
        <v>80</v>
      </c>
      <c r="H2" s="3"/>
      <c r="I2" s="3">
        <v>40</v>
      </c>
      <c r="J2" s="3">
        <f t="shared" ref="J2:J4" si="1">H2+I2</f>
        <v>40</v>
      </c>
      <c r="K2" s="3">
        <f t="shared" ref="K2:K3" si="2">F2-J2</f>
        <v>-39</v>
      </c>
      <c r="L2" s="4">
        <f t="shared" ref="L2:L3" si="3">J2*E2</f>
        <v>3200</v>
      </c>
      <c r="M2" s="4">
        <f t="shared" ref="M2:M3" si="4">G2-L2</f>
        <v>-3120</v>
      </c>
      <c r="N2" s="13" t="str">
        <f t="shared" ref="N2:N3" si="5">IF(M2&gt;0,"KEEP SELLING", "DO NOT SELL")</f>
        <v>DO NOT SELL</v>
      </c>
      <c r="P2" s="10">
        <f>SUM(G2:G4)</f>
        <v>18540</v>
      </c>
      <c r="Q2" s="9">
        <f>SUM(L2:L4)</f>
        <v>7900</v>
      </c>
      <c r="R2" s="12">
        <f>P2-Q2</f>
        <v>10640</v>
      </c>
    </row>
    <row r="3" spans="1:18" ht="18" customHeight="1" x14ac:dyDescent="0.2">
      <c r="A3" s="16" t="s">
        <v>15</v>
      </c>
      <c r="B3" s="14" t="s">
        <v>13</v>
      </c>
      <c r="C3" s="17" t="s">
        <v>17</v>
      </c>
      <c r="D3" s="17" t="s">
        <v>17</v>
      </c>
      <c r="E3" s="18">
        <v>120</v>
      </c>
      <c r="F3" s="15">
        <v>138</v>
      </c>
      <c r="G3" s="2">
        <f t="shared" si="0"/>
        <v>16560</v>
      </c>
      <c r="H3" s="3"/>
      <c r="I3" s="3">
        <v>5</v>
      </c>
      <c r="J3" s="3">
        <f t="shared" si="1"/>
        <v>5</v>
      </c>
      <c r="K3" s="3">
        <f t="shared" si="2"/>
        <v>133</v>
      </c>
      <c r="L3" s="4">
        <f t="shared" si="3"/>
        <v>600</v>
      </c>
      <c r="M3" s="4">
        <f t="shared" si="4"/>
        <v>15960</v>
      </c>
      <c r="N3" s="13" t="str">
        <f t="shared" si="5"/>
        <v>KEEP SELLING</v>
      </c>
      <c r="P3" s="10"/>
      <c r="Q3" s="9"/>
    </row>
    <row r="4" spans="1:18" ht="18" customHeight="1" x14ac:dyDescent="0.2">
      <c r="A4" s="14" t="s">
        <v>15</v>
      </c>
      <c r="B4" s="14" t="s">
        <v>13</v>
      </c>
      <c r="C4" s="17" t="s">
        <v>18</v>
      </c>
      <c r="D4" s="17" t="s">
        <v>18</v>
      </c>
      <c r="E4" s="18">
        <v>100</v>
      </c>
      <c r="F4" s="15">
        <v>19</v>
      </c>
      <c r="G4" s="2">
        <f t="shared" si="0"/>
        <v>1900</v>
      </c>
      <c r="H4" s="3"/>
      <c r="I4" s="3">
        <v>41</v>
      </c>
      <c r="J4" s="3">
        <f t="shared" si="1"/>
        <v>41</v>
      </c>
      <c r="K4" s="3">
        <f t="shared" ref="K4" si="6">F4-J4</f>
        <v>-22</v>
      </c>
      <c r="L4" s="4">
        <f t="shared" ref="L4" si="7">J4*E4</f>
        <v>4100</v>
      </c>
      <c r="M4" s="4">
        <f t="shared" ref="M4" si="8">G4-L4</f>
        <v>-2200</v>
      </c>
      <c r="N4" s="13" t="str">
        <f t="shared" ref="N4" si="9">IF(M4&gt;0,"KEEP SELLING", "DO NOT SELL")</f>
        <v>DO NOT SELL</v>
      </c>
      <c r="P4" s="10"/>
      <c r="Q4" s="9"/>
    </row>
  </sheetData>
  <conditionalFormatting sqref="H2:I4 K2:N4">
    <cfRule type="cellIs" dxfId="2" priority="1" operator="lessThan">
      <formula>0</formula>
    </cfRule>
  </conditionalFormatting>
  <conditionalFormatting sqref="N1:N1048576">
    <cfRule type="containsText" dxfId="1" priority="24" operator="containsText" text="DO NOT SELL">
      <formula>NOT(ISERROR(SEARCH("DO NOT SELL",N1)))</formula>
    </cfRule>
    <cfRule type="containsText" dxfId="0" priority="2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sending to samsung</vt:lpstr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2026-01-23T16:08:37Z</dcterms:modified>
  <cp:category/>
  <cp:contentStatus/>
</cp:coreProperties>
</file>