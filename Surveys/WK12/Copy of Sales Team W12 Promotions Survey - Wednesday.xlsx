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elmobille-my.sharepoint.com/personal/ricardo_vitelmobile_com/Documents/"/>
    </mc:Choice>
  </mc:AlternateContent>
  <xr:revisionPtr revIDLastSave="0" documentId="8_{21FD81D4-F0BE-43AA-AF29-565A4BD82F2C}" xr6:coauthVersionLast="47" xr6:coauthVersionMax="47" xr10:uidLastSave="{00000000-0000-0000-0000-000000000000}"/>
  <bookViews>
    <workbookView xWindow="23929" yWindow="-113" windowWidth="24267" windowHeight="13023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4" l="1"/>
  <c r="J74" i="14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8" i="14" l="1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<sst xmlns="http://schemas.openxmlformats.org/spreadsheetml/2006/main" count="313" uniqueCount="98">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</sst>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zoomScale="115" zoomScaleNormal="115" workbookViewId="0">
      <pane ySplit="1" topLeftCell="A2" activePane="bottomLeft" state="frozen"/>
      <selection pane="bottomLeft" activeCell="I41" sqref="I41"/>
    </sheetView>
  </sheetViews>
  <sheetFormatPr defaultRowHeight="18" customHeight="1" x14ac:dyDescent="0.25"/>
  <cols>
    <col min="1" max="1" width="20.125" bestFit="1" customWidth="1"/>
    <col min="2" max="2" width="45.125" bestFit="1" customWidth="1"/>
    <col min="3" max="4" width="16.25" bestFit="1" customWidth="1"/>
    <col min="5" max="5" width="8.625" bestFit="1" customWidth="1"/>
    <col min="6" max="6" width="8.25" style="8" bestFit="1" customWidth="1"/>
    <col min="7" max="7" width="11.75" bestFit="1" customWidth="1"/>
    <col min="8" max="8" width="7.625" style="8" bestFit="1" customWidth="1"/>
    <col min="9" max="9" width="7.625" bestFit="1" customWidth="1"/>
    <col min="10" max="10" width="6" bestFit="1" customWidth="1"/>
    <col min="11" max="11" width="9.125" bestFit="1" customWidth="1"/>
    <col min="12" max="12" width="12" bestFit="1" customWidth="1"/>
    <col min="13" max="13" width="16" bestFit="1" customWidth="1"/>
    <col min="14" max="14" width="11.375" style="6" bestFit="1" customWidth="1"/>
    <col min="16" max="16" width="11.375" bestFit="1" customWidth="1"/>
    <col min="17" max="17" width="12" bestFit="1" customWidth="1"/>
    <col min="18" max="19" width="11.375" bestFit="1" customWidth="1"/>
    <col min="20" max="20" width="11" bestFit="1" customWidth="1"/>
    <col min="21" max="21" width="11.25" bestFit="1" customWidth="1"/>
    <col min="22" max="22" width="11.75" bestFit="1" customWidth="1"/>
    <col min="23" max="23" width="11.375" bestFit="1" customWidth="1"/>
    <col min="24" max="24" width="10.375" bestFit="1" customWidth="1"/>
  </cols>
  <sheetData>
    <row r="1" spans="1:24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5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689</v>
      </c>
      <c r="I2" s="20">
        <v>1181</v>
      </c>
      <c r="J2" s="14">
        <f>H2+I2</f>
        <v>1870</v>
      </c>
      <c r="K2" s="3">
        <f>F2-J2</f>
        <v>0</v>
      </c>
      <c r="L2" s="4">
        <f t="shared" ref="L2" si="1">J2*E2</f>
        <v>142120</v>
      </c>
      <c r="M2" s="4">
        <f t="shared" ref="M2" si="2">G2-L2</f>
        <v>0</v>
      </c>
      <c r="N2" s="12" t="str">
        <f t="shared" ref="N2" si="3">IF(M2&gt;0,"KEEP SELLING", "DO NOT SELL")</f>
        <v>DO NOT SELL</v>
      </c>
      <c r="P2" s="10">
        <f>SUM(G2:G2)</f>
        <v>142120</v>
      </c>
      <c r="Q2" s="9">
        <f>SUM(L2)</f>
        <v>142120</v>
      </c>
      <c r="R2" s="11">
        <f>P2-Q2</f>
        <v>0</v>
      </c>
      <c r="S2" s="11">
        <f>P3-Q3</f>
        <v>14879</v>
      </c>
      <c r="T2" s="11">
        <f>P4-Q4</f>
        <v>3870</v>
      </c>
      <c r="U2" s="19">
        <f>P5-Q5</f>
        <v>-12868</v>
      </c>
      <c r="V2" s="11">
        <f>P6-Q6</f>
        <v>59192</v>
      </c>
      <c r="W2" s="11">
        <f>P7-Q7</f>
        <v>111330</v>
      </c>
      <c r="X2" s="11">
        <f>P8-Q8</f>
        <v>19150</v>
      </c>
    </row>
    <row r="3" spans="1:24" ht="18" customHeight="1" x14ac:dyDescent="0.25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1544</v>
      </c>
      <c r="G3" s="2">
        <f t="shared" ref="G3:G15" si="4">E3*F3</f>
        <v>7720</v>
      </c>
      <c r="H3" s="3"/>
      <c r="I3" s="3">
        <v>100</v>
      </c>
      <c r="J3" s="14">
        <f t="shared" ref="J3:J14" si="5">H3+I3</f>
        <v>100</v>
      </c>
      <c r="K3" s="3">
        <f t="shared" ref="K3:K14" si="6">F3-J3</f>
        <v>1444</v>
      </c>
      <c r="L3" s="4">
        <f t="shared" ref="L3:L15" si="7">J3*E3</f>
        <v>500</v>
      </c>
      <c r="M3" s="4">
        <f t="shared" ref="M3:M15" si="8">G3-L3</f>
        <v>7220</v>
      </c>
      <c r="N3" s="12" t="str">
        <f t="shared" ref="N3:N15" si="9">IF(M3&gt;0,"KEEP SELLING", "DO NOT SELL")</f>
        <v>KEEP SELLING</v>
      </c>
      <c r="P3" s="10">
        <f>SUM(G3:G28)</f>
        <v>50749</v>
      </c>
      <c r="Q3" s="9">
        <f>SUM(L3:L28)</f>
        <v>35870</v>
      </c>
    </row>
    <row r="4" spans="1:24" ht="18" customHeight="1" x14ac:dyDescent="0.25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320</v>
      </c>
      <c r="G4" s="2">
        <f t="shared" si="4"/>
        <v>1600</v>
      </c>
      <c r="H4" s="3">
        <v>550</v>
      </c>
      <c r="I4" s="3"/>
      <c r="J4" s="14">
        <f t="shared" si="5"/>
        <v>550</v>
      </c>
      <c r="K4" s="3">
        <f t="shared" si="6"/>
        <v>-230</v>
      </c>
      <c r="L4" s="4">
        <f t="shared" si="7"/>
        <v>2750</v>
      </c>
      <c r="M4" s="4">
        <f t="shared" si="8"/>
        <v>-1150</v>
      </c>
      <c r="N4" s="12" t="str">
        <f t="shared" si="9"/>
        <v>DO NOT SELL</v>
      </c>
      <c r="P4" s="10">
        <f>SUM(G29:G31)</f>
        <v>27810</v>
      </c>
      <c r="Q4" s="9">
        <f>SUM(L29:L31)</f>
        <v>23940</v>
      </c>
    </row>
    <row r="5" spans="1:24" ht="18" customHeight="1" x14ac:dyDescent="0.25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643</v>
      </c>
      <c r="G5" s="2">
        <f t="shared" si="4"/>
        <v>1286</v>
      </c>
      <c r="H5" s="3">
        <v>1000</v>
      </c>
      <c r="I5" s="3"/>
      <c r="J5" s="14">
        <f t="shared" si="5"/>
        <v>1000</v>
      </c>
      <c r="K5" s="3">
        <f t="shared" si="6"/>
        <v>-357</v>
      </c>
      <c r="L5" s="4">
        <f t="shared" si="7"/>
        <v>2000</v>
      </c>
      <c r="M5" s="4">
        <f t="shared" si="8"/>
        <v>-714</v>
      </c>
      <c r="N5" s="12" t="str">
        <f t="shared" si="9"/>
        <v>DO NOT SELL</v>
      </c>
      <c r="P5" s="10">
        <f>SUM(G32:G34)</f>
        <v>42698</v>
      </c>
      <c r="Q5" s="9">
        <f>SUM(L32:L34)</f>
        <v>55566</v>
      </c>
    </row>
    <row r="6" spans="1:24" ht="18" customHeight="1" x14ac:dyDescent="0.25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479</v>
      </c>
      <c r="G6" s="2">
        <f t="shared" si="4"/>
        <v>2395</v>
      </c>
      <c r="H6" s="3">
        <v>500</v>
      </c>
      <c r="I6" s="20">
        <v>100</v>
      </c>
      <c r="J6" s="14">
        <f t="shared" si="5"/>
        <v>600</v>
      </c>
      <c r="K6" s="3">
        <f t="shared" si="6"/>
        <v>-121</v>
      </c>
      <c r="L6" s="4">
        <f t="shared" si="7"/>
        <v>3000</v>
      </c>
      <c r="M6" s="4">
        <f t="shared" si="8"/>
        <v>-605</v>
      </c>
      <c r="N6" s="12" t="str">
        <f t="shared" si="9"/>
        <v>DO NOT SELL</v>
      </c>
      <c r="P6" s="10">
        <f>SUM(G35:G45)</f>
        <v>106240</v>
      </c>
      <c r="Q6" s="9">
        <f>SUM(L35:L45)</f>
        <v>47048</v>
      </c>
    </row>
    <row r="7" spans="1:24" ht="18" customHeight="1" x14ac:dyDescent="0.25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2</v>
      </c>
      <c r="G7" s="2">
        <f t="shared" si="4"/>
        <v>8</v>
      </c>
      <c r="H7" s="3"/>
      <c r="I7" s="3"/>
      <c r="J7" s="14">
        <f t="shared" si="5"/>
        <v>0</v>
      </c>
      <c r="K7" s="3">
        <f t="shared" si="6"/>
        <v>2</v>
      </c>
      <c r="L7" s="4">
        <f t="shared" si="7"/>
        <v>0</v>
      </c>
      <c r="M7" s="4">
        <f t="shared" si="8"/>
        <v>8</v>
      </c>
      <c r="N7" s="12" t="str">
        <f t="shared" si="9"/>
        <v>KEEP SELLING</v>
      </c>
      <c r="P7" s="10">
        <f>SUM(G46:G557)</f>
        <v>169450</v>
      </c>
      <c r="Q7" s="9">
        <f>SUM(L44:L57)</f>
        <v>58120</v>
      </c>
    </row>
    <row r="8" spans="1:24" ht="18" customHeight="1" x14ac:dyDescent="0.25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185</v>
      </c>
      <c r="G8" s="2">
        <f t="shared" si="4"/>
        <v>5550</v>
      </c>
      <c r="H8" s="3"/>
      <c r="I8" s="20">
        <v>130</v>
      </c>
      <c r="J8" s="14">
        <f t="shared" si="5"/>
        <v>130</v>
      </c>
      <c r="K8" s="3">
        <f t="shared" si="6"/>
        <v>55</v>
      </c>
      <c r="L8" s="4">
        <f t="shared" si="7"/>
        <v>3900</v>
      </c>
      <c r="M8" s="4">
        <f t="shared" si="8"/>
        <v>1650</v>
      </c>
      <c r="N8" s="12" t="str">
        <f t="shared" si="9"/>
        <v>KEEP SELLING</v>
      </c>
      <c r="P8" s="10">
        <f>SUM(G58:G74)</f>
        <v>46180</v>
      </c>
      <c r="Q8" s="9">
        <f>SUM(L58:L74)</f>
        <v>27030</v>
      </c>
    </row>
    <row r="9" spans="1:24" ht="18" customHeight="1" x14ac:dyDescent="0.25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212</v>
      </c>
      <c r="G9" s="2">
        <f t="shared" si="4"/>
        <v>16960</v>
      </c>
      <c r="H9" s="3">
        <v>84</v>
      </c>
      <c r="I9" s="20">
        <v>200</v>
      </c>
      <c r="J9" s="14">
        <f t="shared" si="5"/>
        <v>284</v>
      </c>
      <c r="K9" s="3">
        <f t="shared" si="6"/>
        <v>-72</v>
      </c>
      <c r="L9" s="4">
        <f t="shared" si="7"/>
        <v>22720</v>
      </c>
      <c r="M9" s="4">
        <f t="shared" si="8"/>
        <v>-5760</v>
      </c>
      <c r="N9" s="12" t="str">
        <f t="shared" si="9"/>
        <v>DO NOT SELL</v>
      </c>
    </row>
    <row r="10" spans="1:24" ht="18" customHeight="1" x14ac:dyDescent="0.25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56</v>
      </c>
      <c r="G10" s="2">
        <f t="shared" si="4"/>
        <v>560</v>
      </c>
      <c r="H10" s="3"/>
      <c r="I10" s="3"/>
      <c r="J10" s="14">
        <f t="shared" si="5"/>
        <v>0</v>
      </c>
      <c r="K10" s="3">
        <f t="shared" si="6"/>
        <v>56</v>
      </c>
      <c r="L10" s="4">
        <f t="shared" si="7"/>
        <v>0</v>
      </c>
      <c r="M10" s="4">
        <f t="shared" si="8"/>
        <v>560</v>
      </c>
      <c r="N10" s="12" t="str">
        <f t="shared" si="9"/>
        <v>KEEP SELLING</v>
      </c>
    </row>
    <row r="11" spans="1:24" ht="18" customHeight="1" x14ac:dyDescent="0.25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141</v>
      </c>
      <c r="G11" s="2">
        <f t="shared" si="4"/>
        <v>1410</v>
      </c>
      <c r="H11" s="3"/>
      <c r="I11" s="3">
        <v>50</v>
      </c>
      <c r="J11" s="14">
        <f t="shared" si="5"/>
        <v>50</v>
      </c>
      <c r="K11" s="3">
        <f t="shared" si="6"/>
        <v>91</v>
      </c>
      <c r="L11" s="4">
        <f t="shared" si="7"/>
        <v>500</v>
      </c>
      <c r="M11" s="4">
        <f t="shared" si="8"/>
        <v>910</v>
      </c>
      <c r="N11" s="12" t="str">
        <f t="shared" si="9"/>
        <v>KEEP SELLING</v>
      </c>
    </row>
    <row r="12" spans="1:24" ht="18" customHeight="1" x14ac:dyDescent="0.25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141</v>
      </c>
      <c r="G12" s="2">
        <f t="shared" si="4"/>
        <v>1410</v>
      </c>
      <c r="H12" s="3"/>
      <c r="I12" s="3"/>
      <c r="J12" s="14">
        <f t="shared" si="5"/>
        <v>0</v>
      </c>
      <c r="K12" s="3">
        <f t="shared" si="6"/>
        <v>141</v>
      </c>
      <c r="L12" s="4">
        <f t="shared" si="7"/>
        <v>0</v>
      </c>
      <c r="M12" s="4">
        <f t="shared" si="8"/>
        <v>1410</v>
      </c>
      <c r="N12" s="12" t="str">
        <f t="shared" si="9"/>
        <v>KEEP SELLING</v>
      </c>
    </row>
    <row r="13" spans="1:24" ht="18" customHeight="1" x14ac:dyDescent="0.25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141</v>
      </c>
      <c r="G13" s="2">
        <f t="shared" ref="G13" si="10">E13*F13</f>
        <v>1410</v>
      </c>
      <c r="H13" s="3"/>
      <c r="I13" s="3">
        <v>50</v>
      </c>
      <c r="J13" s="14">
        <f t="shared" ref="J13" si="11">H13+I13</f>
        <v>50</v>
      </c>
      <c r="K13" s="3">
        <f t="shared" ref="K13" si="12">F13-J13</f>
        <v>91</v>
      </c>
      <c r="L13" s="4">
        <f t="shared" ref="L13" si="13">J13*E13</f>
        <v>500</v>
      </c>
      <c r="M13" s="4">
        <f t="shared" ref="M13" si="14">G13-L13</f>
        <v>910</v>
      </c>
      <c r="N13" s="12" t="str">
        <f t="shared" ref="N13" si="15">IF(M13&gt;0,"KEEP SELLING", "DO NOT SELL")</f>
        <v>KEEP SELLING</v>
      </c>
    </row>
    <row r="14" spans="1:24" ht="18" customHeight="1" x14ac:dyDescent="0.25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141</v>
      </c>
      <c r="G14" s="2">
        <f t="shared" si="4"/>
        <v>1410</v>
      </c>
      <c r="H14" s="3"/>
      <c r="I14" s="3"/>
      <c r="J14" s="14">
        <f t="shared" si="5"/>
        <v>0</v>
      </c>
      <c r="K14" s="3">
        <f t="shared" si="6"/>
        <v>141</v>
      </c>
      <c r="L14" s="4">
        <f t="shared" si="7"/>
        <v>0</v>
      </c>
      <c r="M14" s="4">
        <f t="shared" si="8"/>
        <v>1410</v>
      </c>
      <c r="N14" s="12" t="str">
        <f t="shared" si="9"/>
        <v>KEEP SELLING</v>
      </c>
    </row>
    <row r="15" spans="1:24" ht="18" customHeight="1" x14ac:dyDescent="0.25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141</v>
      </c>
      <c r="G15" s="2">
        <f t="shared" si="4"/>
        <v>1410</v>
      </c>
      <c r="H15" s="3"/>
      <c r="I15" s="3"/>
      <c r="J15" s="14">
        <f>H15+I15</f>
        <v>0</v>
      </c>
      <c r="K15" s="3">
        <f>F15-J15</f>
        <v>141</v>
      </c>
      <c r="L15" s="4">
        <f t="shared" si="7"/>
        <v>0</v>
      </c>
      <c r="M15" s="4">
        <f t="shared" si="8"/>
        <v>1410</v>
      </c>
      <c r="N15" s="12" t="str">
        <f t="shared" si="9"/>
        <v>KEEP SELLING</v>
      </c>
    </row>
    <row r="16" spans="1:24" ht="18" customHeight="1" x14ac:dyDescent="0.25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141</v>
      </c>
      <c r="G16" s="2">
        <f t="shared" ref="G16:G33" si="16">E16*F16</f>
        <v>1410</v>
      </c>
      <c r="H16" s="3"/>
      <c r="I16" s="3"/>
      <c r="J16" s="14">
        <f t="shared" ref="J16:J33" si="17">H16+I16</f>
        <v>0</v>
      </c>
      <c r="K16" s="3">
        <f t="shared" ref="K16:K33" si="18">F16-J16</f>
        <v>141</v>
      </c>
      <c r="L16" s="4">
        <f t="shared" ref="L16:L33" si="19">J16*E16</f>
        <v>0</v>
      </c>
      <c r="M16" s="4">
        <f t="shared" ref="M16:M33" si="20">G16-L16</f>
        <v>1410</v>
      </c>
      <c r="N16" s="12" t="str">
        <f t="shared" ref="N16:N33" si="21">IF(M16&gt;0,"KEEP SELLING", "DO NOT SELL")</f>
        <v>KEEP SELLING</v>
      </c>
    </row>
    <row r="17" spans="1:14" ht="18" customHeight="1" x14ac:dyDescent="0.25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141</v>
      </c>
      <c r="G17" s="2">
        <f t="shared" si="16"/>
        <v>1410</v>
      </c>
      <c r="H17" s="3"/>
      <c r="I17" s="17"/>
      <c r="J17" s="14">
        <f t="shared" si="17"/>
        <v>0</v>
      </c>
      <c r="K17" s="3">
        <f t="shared" si="18"/>
        <v>141</v>
      </c>
      <c r="L17" s="4">
        <f t="shared" si="19"/>
        <v>0</v>
      </c>
      <c r="M17" s="4">
        <f t="shared" si="20"/>
        <v>1410</v>
      </c>
      <c r="N17" s="12" t="str">
        <f t="shared" si="21"/>
        <v>KEEP SELLING</v>
      </c>
    </row>
    <row r="18" spans="1:14" ht="18" customHeight="1" x14ac:dyDescent="0.25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141</v>
      </c>
      <c r="G18" s="2">
        <f t="shared" si="16"/>
        <v>1410</v>
      </c>
      <c r="H18" s="3"/>
      <c r="I18" s="3"/>
      <c r="J18" s="14">
        <f t="shared" si="17"/>
        <v>0</v>
      </c>
      <c r="K18" s="3">
        <f t="shared" si="18"/>
        <v>141</v>
      </c>
      <c r="L18" s="4">
        <f t="shared" si="19"/>
        <v>0</v>
      </c>
      <c r="M18" s="4">
        <f t="shared" si="20"/>
        <v>1410</v>
      </c>
      <c r="N18" s="12" t="str">
        <f t="shared" si="21"/>
        <v>KEEP SELLING</v>
      </c>
    </row>
    <row r="19" spans="1:14" ht="18" customHeight="1" x14ac:dyDescent="0.25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141</v>
      </c>
      <c r="G19" s="2">
        <f t="shared" si="16"/>
        <v>1410</v>
      </c>
      <c r="H19" s="3"/>
      <c r="I19" s="3"/>
      <c r="J19" s="14">
        <f t="shared" si="17"/>
        <v>0</v>
      </c>
      <c r="K19" s="3">
        <f t="shared" si="18"/>
        <v>141</v>
      </c>
      <c r="L19" s="4">
        <f t="shared" si="19"/>
        <v>0</v>
      </c>
      <c r="M19" s="4">
        <f t="shared" si="20"/>
        <v>1410</v>
      </c>
      <c r="N19" s="12" t="str">
        <f t="shared" si="21"/>
        <v>KEEP SELLING</v>
      </c>
    </row>
    <row r="20" spans="1:14" ht="18" customHeight="1" x14ac:dyDescent="0.25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22</v>
      </c>
      <c r="G20" s="2">
        <f t="shared" si="16"/>
        <v>220</v>
      </c>
      <c r="H20" s="3"/>
      <c r="I20" s="3"/>
      <c r="J20" s="14">
        <f t="shared" si="17"/>
        <v>0</v>
      </c>
      <c r="K20" s="3">
        <f t="shared" si="18"/>
        <v>22</v>
      </c>
      <c r="L20" s="4">
        <f t="shared" si="19"/>
        <v>0</v>
      </c>
      <c r="M20" s="4">
        <f t="shared" si="20"/>
        <v>220</v>
      </c>
      <c r="N20" s="12" t="str">
        <f t="shared" si="21"/>
        <v>KEEP SELLING</v>
      </c>
    </row>
    <row r="21" spans="1:14" ht="18" customHeight="1" x14ac:dyDescent="0.25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22</v>
      </c>
      <c r="G21" s="2">
        <f t="shared" si="16"/>
        <v>220</v>
      </c>
      <c r="H21" s="3"/>
      <c r="I21" s="3"/>
      <c r="J21" s="14">
        <f t="shared" si="17"/>
        <v>0</v>
      </c>
      <c r="K21" s="3">
        <f t="shared" si="18"/>
        <v>22</v>
      </c>
      <c r="L21" s="4">
        <f t="shared" si="19"/>
        <v>0</v>
      </c>
      <c r="M21" s="4">
        <f t="shared" si="20"/>
        <v>220</v>
      </c>
      <c r="N21" s="12" t="str">
        <f t="shared" si="21"/>
        <v>KEEP SELLING</v>
      </c>
    </row>
    <row r="22" spans="1:14" ht="18" customHeight="1" x14ac:dyDescent="0.25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22</v>
      </c>
      <c r="G22" s="2">
        <f t="shared" si="16"/>
        <v>220</v>
      </c>
      <c r="H22" s="3"/>
      <c r="I22" s="3"/>
      <c r="J22" s="14">
        <f t="shared" si="17"/>
        <v>0</v>
      </c>
      <c r="K22" s="3">
        <f t="shared" si="18"/>
        <v>22</v>
      </c>
      <c r="L22" s="4">
        <f t="shared" si="19"/>
        <v>0</v>
      </c>
      <c r="M22" s="4">
        <f t="shared" si="20"/>
        <v>220</v>
      </c>
      <c r="N22" s="12" t="str">
        <f t="shared" si="21"/>
        <v>KEEP SELLING</v>
      </c>
    </row>
    <row r="23" spans="1:14" ht="18" customHeight="1" x14ac:dyDescent="0.25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22</v>
      </c>
      <c r="G23" s="2">
        <f t="shared" si="16"/>
        <v>220</v>
      </c>
      <c r="H23" s="3"/>
      <c r="I23" s="3"/>
      <c r="J23" s="14">
        <f t="shared" si="17"/>
        <v>0</v>
      </c>
      <c r="K23" s="3">
        <f t="shared" si="18"/>
        <v>22</v>
      </c>
      <c r="L23" s="4">
        <f t="shared" si="19"/>
        <v>0</v>
      </c>
      <c r="M23" s="4">
        <f t="shared" si="20"/>
        <v>220</v>
      </c>
      <c r="N23" s="12" t="str">
        <f t="shared" si="21"/>
        <v>KEEP SELLING</v>
      </c>
    </row>
    <row r="24" spans="1:14" ht="18" customHeight="1" x14ac:dyDescent="0.25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22</v>
      </c>
      <c r="G24" s="2">
        <f t="shared" si="16"/>
        <v>220</v>
      </c>
      <c r="H24" s="3"/>
      <c r="I24" s="3"/>
      <c r="J24" s="14">
        <f t="shared" si="17"/>
        <v>0</v>
      </c>
      <c r="K24" s="3">
        <f t="shared" si="18"/>
        <v>22</v>
      </c>
      <c r="L24" s="4">
        <f t="shared" si="19"/>
        <v>0</v>
      </c>
      <c r="M24" s="4">
        <f t="shared" si="20"/>
        <v>220</v>
      </c>
      <c r="N24" s="12" t="str">
        <f t="shared" si="21"/>
        <v>KEEP SELLING</v>
      </c>
    </row>
    <row r="25" spans="1:14" ht="18" customHeight="1" x14ac:dyDescent="0.25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22</v>
      </c>
      <c r="G25" s="2">
        <f t="shared" si="16"/>
        <v>220</v>
      </c>
      <c r="H25" s="3"/>
      <c r="I25" s="3"/>
      <c r="J25" s="14">
        <f t="shared" si="17"/>
        <v>0</v>
      </c>
      <c r="K25" s="3">
        <f t="shared" si="18"/>
        <v>22</v>
      </c>
      <c r="L25" s="4">
        <f t="shared" si="19"/>
        <v>0</v>
      </c>
      <c r="M25" s="4">
        <f t="shared" si="20"/>
        <v>220</v>
      </c>
      <c r="N25" s="12" t="str">
        <f t="shared" si="21"/>
        <v>KEEP SELLING</v>
      </c>
    </row>
    <row r="26" spans="1:14" ht="18" customHeight="1" x14ac:dyDescent="0.25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22</v>
      </c>
      <c r="G26" s="2">
        <f t="shared" si="16"/>
        <v>220</v>
      </c>
      <c r="H26" s="3"/>
      <c r="I26" s="3"/>
      <c r="J26" s="14">
        <f t="shared" si="17"/>
        <v>0</v>
      </c>
      <c r="K26" s="3">
        <f t="shared" si="18"/>
        <v>22</v>
      </c>
      <c r="L26" s="4">
        <f t="shared" si="19"/>
        <v>0</v>
      </c>
      <c r="M26" s="4">
        <f t="shared" si="20"/>
        <v>220</v>
      </c>
      <c r="N26" s="12" t="str">
        <f t="shared" si="21"/>
        <v>KEEP SELLING</v>
      </c>
    </row>
    <row r="27" spans="1:14" ht="18" customHeight="1" x14ac:dyDescent="0.25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22</v>
      </c>
      <c r="G27" s="2">
        <f t="shared" si="16"/>
        <v>220</v>
      </c>
      <c r="H27" s="3"/>
      <c r="I27" s="3"/>
      <c r="J27" s="14">
        <f t="shared" si="17"/>
        <v>0</v>
      </c>
      <c r="K27" s="3">
        <f t="shared" si="18"/>
        <v>22</v>
      </c>
      <c r="L27" s="4">
        <f t="shared" si="19"/>
        <v>0</v>
      </c>
      <c r="M27" s="4">
        <f t="shared" si="20"/>
        <v>220</v>
      </c>
      <c r="N27" s="12" t="str">
        <f t="shared" si="21"/>
        <v>KEEP SELLING</v>
      </c>
    </row>
    <row r="28" spans="1:14" ht="18" customHeight="1" x14ac:dyDescent="0.25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22</v>
      </c>
      <c r="G28" s="2">
        <f t="shared" si="16"/>
        <v>220</v>
      </c>
      <c r="H28" s="3"/>
      <c r="I28" s="3"/>
      <c r="J28" s="14">
        <f t="shared" si="17"/>
        <v>0</v>
      </c>
      <c r="K28" s="3">
        <f t="shared" si="18"/>
        <v>22</v>
      </c>
      <c r="L28" s="4">
        <f t="shared" si="19"/>
        <v>0</v>
      </c>
      <c r="M28" s="4">
        <f t="shared" si="20"/>
        <v>220</v>
      </c>
      <c r="N28" s="12" t="str">
        <f t="shared" si="21"/>
        <v>KEEP SELLING</v>
      </c>
    </row>
    <row r="29" spans="1:14" ht="18" customHeight="1" x14ac:dyDescent="0.25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1911</v>
      </c>
      <c r="G29" s="2">
        <f t="shared" si="16"/>
        <v>9555</v>
      </c>
      <c r="H29" s="3">
        <v>2640</v>
      </c>
      <c r="I29" s="3">
        <v>1348</v>
      </c>
      <c r="J29" s="14">
        <f t="shared" si="17"/>
        <v>3988</v>
      </c>
      <c r="K29" s="3">
        <f t="shared" si="18"/>
        <v>-2077</v>
      </c>
      <c r="L29" s="4">
        <f t="shared" si="19"/>
        <v>19940</v>
      </c>
      <c r="M29" s="4">
        <f t="shared" si="20"/>
        <v>-10385</v>
      </c>
      <c r="N29" s="12" t="str">
        <f t="shared" si="21"/>
        <v>DO NOT SELL</v>
      </c>
    </row>
    <row r="30" spans="1:14" ht="18" customHeight="1" x14ac:dyDescent="0.25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2865</v>
      </c>
      <c r="G30" s="2">
        <f t="shared" si="16"/>
        <v>14325</v>
      </c>
      <c r="H30" s="3">
        <v>300</v>
      </c>
      <c r="I30" s="3">
        <v>400</v>
      </c>
      <c r="J30" s="14">
        <f t="shared" si="17"/>
        <v>700</v>
      </c>
      <c r="K30" s="3">
        <f t="shared" si="18"/>
        <v>2165</v>
      </c>
      <c r="L30" s="4">
        <f t="shared" si="19"/>
        <v>3500</v>
      </c>
      <c r="M30" s="4">
        <f t="shared" si="20"/>
        <v>10825</v>
      </c>
      <c r="N30" s="12" t="str">
        <f t="shared" si="21"/>
        <v>KEEP SELLING</v>
      </c>
    </row>
    <row r="31" spans="1:14" ht="18" customHeight="1" x14ac:dyDescent="0.25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786</v>
      </c>
      <c r="G31" s="2">
        <f t="shared" si="16"/>
        <v>3930</v>
      </c>
      <c r="H31" s="3"/>
      <c r="I31" s="3">
        <v>100</v>
      </c>
      <c r="J31" s="14">
        <f t="shared" si="17"/>
        <v>100</v>
      </c>
      <c r="K31" s="3">
        <f t="shared" si="18"/>
        <v>686</v>
      </c>
      <c r="L31" s="4">
        <f t="shared" si="19"/>
        <v>500</v>
      </c>
      <c r="M31" s="4">
        <f t="shared" si="20"/>
        <v>3430</v>
      </c>
      <c r="N31" s="12" t="str">
        <f t="shared" si="21"/>
        <v>KEEP SELLING</v>
      </c>
    </row>
    <row r="32" spans="1:14" ht="18" customHeight="1" x14ac:dyDescent="0.25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944</v>
      </c>
      <c r="G32" s="2">
        <f t="shared" si="16"/>
        <v>23600</v>
      </c>
      <c r="H32" s="3">
        <v>1901</v>
      </c>
      <c r="I32" s="3">
        <v>19</v>
      </c>
      <c r="J32" s="14">
        <f t="shared" si="17"/>
        <v>1920</v>
      </c>
      <c r="K32" s="3">
        <f t="shared" si="18"/>
        <v>-976</v>
      </c>
      <c r="L32" s="4">
        <f t="shared" si="19"/>
        <v>48000</v>
      </c>
      <c r="M32" s="4">
        <f t="shared" si="20"/>
        <v>-24400</v>
      </c>
      <c r="N32" s="12" t="str">
        <f t="shared" si="21"/>
        <v>DO NOT SELL</v>
      </c>
    </row>
    <row r="33" spans="1:14" ht="18" customHeight="1" x14ac:dyDescent="0.25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199</v>
      </c>
      <c r="G33" s="2">
        <f t="shared" si="16"/>
        <v>10746</v>
      </c>
      <c r="H33" s="3">
        <v>62</v>
      </c>
      <c r="I33" s="3">
        <v>33</v>
      </c>
      <c r="J33" s="14">
        <f t="shared" si="17"/>
        <v>95</v>
      </c>
      <c r="K33" s="3">
        <f t="shared" si="18"/>
        <v>104</v>
      </c>
      <c r="L33" s="4">
        <f t="shared" si="19"/>
        <v>5130</v>
      </c>
      <c r="M33" s="4">
        <f t="shared" si="20"/>
        <v>5616</v>
      </c>
      <c r="N33" s="12" t="str">
        <f t="shared" si="21"/>
        <v>KEEP SELLING</v>
      </c>
    </row>
    <row r="34" spans="1:14" ht="18" customHeight="1" x14ac:dyDescent="0.25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96</v>
      </c>
      <c r="G34" s="2">
        <f t="shared" ref="G34:G63" si="22">E34*F34</f>
        <v>8352</v>
      </c>
      <c r="H34" s="3"/>
      <c r="I34" s="3">
        <v>28</v>
      </c>
      <c r="J34" s="14">
        <f t="shared" ref="J34:J63" si="23">H34+I34</f>
        <v>28</v>
      </c>
      <c r="K34" s="3">
        <f t="shared" ref="K34:K63" si="24">F34-J34</f>
        <v>68</v>
      </c>
      <c r="L34" s="4">
        <f t="shared" ref="L34:L63" si="25">J34*E34</f>
        <v>2436</v>
      </c>
      <c r="M34" s="4">
        <f t="shared" ref="M34:M63" si="26">G34-L34</f>
        <v>5916</v>
      </c>
      <c r="N34" s="12" t="str">
        <f t="shared" ref="N34:N63" si="27">IF(M34&gt;0,"KEEP SELLING", "DO NOT SELL")</f>
        <v>KEEP SELLING</v>
      </c>
    </row>
    <row r="35" spans="1:14" ht="18" customHeight="1" x14ac:dyDescent="0.25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4629</v>
      </c>
      <c r="G35" s="2">
        <f t="shared" si="22"/>
        <v>23145</v>
      </c>
      <c r="H35" s="3">
        <v>440</v>
      </c>
      <c r="I35" s="20">
        <v>4100</v>
      </c>
      <c r="J35" s="14">
        <f t="shared" si="23"/>
        <v>4540</v>
      </c>
      <c r="K35" s="3">
        <f t="shared" si="24"/>
        <v>89</v>
      </c>
      <c r="L35" s="4">
        <f t="shared" si="25"/>
        <v>22700</v>
      </c>
      <c r="M35" s="4">
        <f t="shared" si="26"/>
        <v>445</v>
      </c>
      <c r="N35" s="12" t="str">
        <f t="shared" si="27"/>
        <v>KEEP SELLING</v>
      </c>
    </row>
    <row r="36" spans="1:14" ht="18" customHeight="1" x14ac:dyDescent="0.25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956</v>
      </c>
      <c r="G36" s="2">
        <f t="shared" si="22"/>
        <v>4780</v>
      </c>
      <c r="H36" s="3"/>
      <c r="I36" s="3"/>
      <c r="J36" s="14">
        <f t="shared" si="23"/>
        <v>0</v>
      </c>
      <c r="K36" s="3">
        <f t="shared" si="24"/>
        <v>956</v>
      </c>
      <c r="L36" s="4">
        <f t="shared" si="25"/>
        <v>0</v>
      </c>
      <c r="M36" s="4">
        <f t="shared" si="26"/>
        <v>4780</v>
      </c>
      <c r="N36" s="12" t="str">
        <f t="shared" si="27"/>
        <v>KEEP SELLING</v>
      </c>
    </row>
    <row r="37" spans="1:14" ht="18" customHeight="1" x14ac:dyDescent="0.25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1925</v>
      </c>
      <c r="G37" s="2">
        <f t="shared" si="22"/>
        <v>3850</v>
      </c>
      <c r="H37" s="3">
        <v>390</v>
      </c>
      <c r="I37" s="3">
        <v>1209</v>
      </c>
      <c r="J37" s="14">
        <f t="shared" si="23"/>
        <v>1599</v>
      </c>
      <c r="K37" s="3">
        <f t="shared" si="24"/>
        <v>326</v>
      </c>
      <c r="L37" s="4">
        <f t="shared" si="25"/>
        <v>3198</v>
      </c>
      <c r="M37" s="4">
        <f t="shared" si="26"/>
        <v>652</v>
      </c>
      <c r="N37" s="12" t="str">
        <f t="shared" si="27"/>
        <v>KEEP SELLING</v>
      </c>
    </row>
    <row r="38" spans="1:14" ht="18" customHeight="1" x14ac:dyDescent="0.25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1433</v>
      </c>
      <c r="G38" s="2">
        <f t="shared" si="22"/>
        <v>7165</v>
      </c>
      <c r="H38" s="3">
        <v>40</v>
      </c>
      <c r="I38" s="20">
        <v>200</v>
      </c>
      <c r="J38" s="14">
        <f t="shared" si="23"/>
        <v>240</v>
      </c>
      <c r="K38" s="3">
        <f t="shared" si="24"/>
        <v>1193</v>
      </c>
      <c r="L38" s="4">
        <f t="shared" si="25"/>
        <v>1200</v>
      </c>
      <c r="M38" s="4">
        <f t="shared" si="26"/>
        <v>5965</v>
      </c>
      <c r="N38" s="12" t="str">
        <f t="shared" si="27"/>
        <v>KEEP SELLING</v>
      </c>
    </row>
    <row r="39" spans="1:14" ht="18" customHeight="1" x14ac:dyDescent="0.25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495</v>
      </c>
      <c r="G39" s="2">
        <f t="shared" si="22"/>
        <v>2475</v>
      </c>
      <c r="H39" s="3"/>
      <c r="I39" s="3">
        <v>550</v>
      </c>
      <c r="J39" s="14">
        <f t="shared" si="23"/>
        <v>550</v>
      </c>
      <c r="K39" s="3">
        <f t="shared" si="24"/>
        <v>-55</v>
      </c>
      <c r="L39" s="4">
        <f t="shared" si="25"/>
        <v>2750</v>
      </c>
      <c r="M39" s="4">
        <f t="shared" si="26"/>
        <v>-275</v>
      </c>
      <c r="N39" s="12" t="str">
        <f t="shared" si="27"/>
        <v>DO NOT SELL</v>
      </c>
    </row>
    <row r="40" spans="1:14" ht="18" customHeight="1" x14ac:dyDescent="0.25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310</v>
      </c>
      <c r="G40" s="2">
        <f t="shared" si="22"/>
        <v>1550</v>
      </c>
      <c r="H40" s="3"/>
      <c r="I40" s="3"/>
      <c r="J40" s="14">
        <f t="shared" si="23"/>
        <v>0</v>
      </c>
      <c r="K40" s="3">
        <f t="shared" si="24"/>
        <v>310</v>
      </c>
      <c r="L40" s="4">
        <f t="shared" si="25"/>
        <v>0</v>
      </c>
      <c r="M40" s="4">
        <f t="shared" si="26"/>
        <v>1550</v>
      </c>
      <c r="N40" s="12" t="str">
        <f t="shared" si="27"/>
        <v>KEEP SELLING</v>
      </c>
    </row>
    <row r="41" spans="1:14" ht="18" customHeight="1" x14ac:dyDescent="0.25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597</v>
      </c>
      <c r="G41" s="2">
        <f t="shared" si="22"/>
        <v>2985</v>
      </c>
      <c r="H41" s="3"/>
      <c r="I41" s="20">
        <v>1000</v>
      </c>
      <c r="J41" s="14">
        <f t="shared" si="23"/>
        <v>1000</v>
      </c>
      <c r="K41" s="3">
        <f t="shared" si="24"/>
        <v>-403</v>
      </c>
      <c r="L41" s="4">
        <f t="shared" si="25"/>
        <v>5000</v>
      </c>
      <c r="M41" s="4">
        <f t="shared" si="26"/>
        <v>-2015</v>
      </c>
      <c r="N41" s="12" t="str">
        <f t="shared" si="27"/>
        <v>DO NOT SELL</v>
      </c>
    </row>
    <row r="42" spans="1:14" ht="18" customHeight="1" x14ac:dyDescent="0.25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120</v>
      </c>
      <c r="G42" s="2">
        <f t="shared" si="22"/>
        <v>3600</v>
      </c>
      <c r="H42" s="3"/>
      <c r="I42" s="20">
        <v>40</v>
      </c>
      <c r="J42" s="14">
        <f t="shared" si="23"/>
        <v>40</v>
      </c>
      <c r="K42" s="3">
        <f t="shared" si="24"/>
        <v>80</v>
      </c>
      <c r="L42" s="4">
        <f t="shared" si="25"/>
        <v>1200</v>
      </c>
      <c r="M42" s="4">
        <f t="shared" si="26"/>
        <v>2400</v>
      </c>
      <c r="N42" s="12" t="str">
        <f t="shared" si="27"/>
        <v>KEEP SELLING</v>
      </c>
    </row>
    <row r="43" spans="1:14" ht="18" customHeight="1" x14ac:dyDescent="0.25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31</v>
      </c>
      <c r="G43" s="2">
        <f t="shared" si="22"/>
        <v>930</v>
      </c>
      <c r="H43" s="3"/>
      <c r="I43" s="3"/>
      <c r="J43" s="14">
        <f t="shared" si="23"/>
        <v>0</v>
      </c>
      <c r="K43" s="3">
        <f t="shared" si="24"/>
        <v>31</v>
      </c>
      <c r="L43" s="4">
        <f t="shared" si="25"/>
        <v>0</v>
      </c>
      <c r="M43" s="4">
        <f t="shared" si="26"/>
        <v>930</v>
      </c>
      <c r="N43" s="12" t="str">
        <f t="shared" si="27"/>
        <v>KEEP SELLING</v>
      </c>
    </row>
    <row r="44" spans="1:14" ht="18" customHeight="1" x14ac:dyDescent="0.25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552</v>
      </c>
      <c r="G44" s="2">
        <f t="shared" si="22"/>
        <v>16560</v>
      </c>
      <c r="H44" s="3"/>
      <c r="I44" s="20">
        <v>100</v>
      </c>
      <c r="J44" s="14">
        <f t="shared" si="23"/>
        <v>100</v>
      </c>
      <c r="K44" s="3">
        <f t="shared" si="24"/>
        <v>452</v>
      </c>
      <c r="L44" s="4">
        <f t="shared" si="25"/>
        <v>3000</v>
      </c>
      <c r="M44" s="4">
        <f t="shared" si="26"/>
        <v>13560</v>
      </c>
      <c r="N44" s="12" t="str">
        <f t="shared" si="27"/>
        <v>KEEP SELLING</v>
      </c>
    </row>
    <row r="45" spans="1:14" ht="18" customHeight="1" x14ac:dyDescent="0.25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490</v>
      </c>
      <c r="G45" s="2">
        <f t="shared" si="22"/>
        <v>39200</v>
      </c>
      <c r="H45" s="3"/>
      <c r="I45" s="20">
        <v>100</v>
      </c>
      <c r="J45" s="14">
        <f t="shared" si="23"/>
        <v>100</v>
      </c>
      <c r="K45" s="3">
        <f t="shared" si="24"/>
        <v>390</v>
      </c>
      <c r="L45" s="4">
        <f t="shared" si="25"/>
        <v>8000</v>
      </c>
      <c r="M45" s="4">
        <f t="shared" si="26"/>
        <v>31200</v>
      </c>
      <c r="N45" s="12" t="str">
        <f t="shared" si="27"/>
        <v>KEEP SELLING</v>
      </c>
    </row>
    <row r="46" spans="1:14" ht="18" customHeight="1" x14ac:dyDescent="0.25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58</v>
      </c>
      <c r="G46" s="2">
        <f t="shared" si="22"/>
        <v>2900</v>
      </c>
      <c r="H46" s="3">
        <v>19</v>
      </c>
      <c r="I46" s="3"/>
      <c r="J46" s="14">
        <f t="shared" si="23"/>
        <v>19</v>
      </c>
      <c r="K46" s="3">
        <f t="shared" si="24"/>
        <v>39</v>
      </c>
      <c r="L46" s="4">
        <f t="shared" si="25"/>
        <v>950</v>
      </c>
      <c r="M46" s="4">
        <f t="shared" si="26"/>
        <v>1950</v>
      </c>
      <c r="N46" s="12" t="str">
        <f t="shared" si="27"/>
        <v>KEEP SELLING</v>
      </c>
    </row>
    <row r="47" spans="1:14" ht="18" customHeight="1" x14ac:dyDescent="0.25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166</v>
      </c>
      <c r="G47" s="2">
        <f t="shared" si="22"/>
        <v>13280</v>
      </c>
      <c r="H47" s="3"/>
      <c r="I47" s="20">
        <v>100</v>
      </c>
      <c r="J47" s="14">
        <f t="shared" si="23"/>
        <v>100</v>
      </c>
      <c r="K47" s="3">
        <f t="shared" si="24"/>
        <v>66</v>
      </c>
      <c r="L47" s="4">
        <f t="shared" si="25"/>
        <v>8000</v>
      </c>
      <c r="M47" s="4">
        <f t="shared" si="26"/>
        <v>5280</v>
      </c>
      <c r="N47" s="12" t="str">
        <f t="shared" si="27"/>
        <v>KEEP SELLING</v>
      </c>
    </row>
    <row r="48" spans="1:14" ht="18" customHeight="1" x14ac:dyDescent="0.25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2</v>
      </c>
      <c r="G48" s="2">
        <f t="shared" si="22"/>
        <v>240</v>
      </c>
      <c r="H48" s="3">
        <v>37</v>
      </c>
      <c r="I48" s="3"/>
      <c r="J48" s="14">
        <f t="shared" si="23"/>
        <v>37</v>
      </c>
      <c r="K48" s="3">
        <f t="shared" si="24"/>
        <v>-35</v>
      </c>
      <c r="L48" s="4">
        <f t="shared" si="25"/>
        <v>4440</v>
      </c>
      <c r="M48" s="4">
        <f t="shared" si="26"/>
        <v>-4200</v>
      </c>
      <c r="N48" s="12" t="str">
        <f t="shared" si="27"/>
        <v>DO NOT SELL</v>
      </c>
    </row>
    <row r="49" spans="1:14" ht="18" customHeight="1" x14ac:dyDescent="0.25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320</v>
      </c>
      <c r="G49" s="2">
        <f t="shared" si="22"/>
        <v>16000</v>
      </c>
      <c r="H49" s="3">
        <v>53</v>
      </c>
      <c r="I49" s="3"/>
      <c r="J49" s="14">
        <f t="shared" si="23"/>
        <v>53</v>
      </c>
      <c r="K49" s="3">
        <f t="shared" si="24"/>
        <v>267</v>
      </c>
      <c r="L49" s="4">
        <f t="shared" si="25"/>
        <v>2650</v>
      </c>
      <c r="M49" s="4">
        <f t="shared" si="26"/>
        <v>13350</v>
      </c>
      <c r="N49" s="12" t="str">
        <f t="shared" si="27"/>
        <v>KEEP SELLING</v>
      </c>
    </row>
    <row r="50" spans="1:14" ht="18" customHeight="1" x14ac:dyDescent="0.25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648</v>
      </c>
      <c r="G50" s="2">
        <f t="shared" si="22"/>
        <v>51840</v>
      </c>
      <c r="H50" s="3"/>
      <c r="I50" s="20">
        <v>240</v>
      </c>
      <c r="J50" s="14">
        <f t="shared" si="23"/>
        <v>240</v>
      </c>
      <c r="K50" s="3">
        <f t="shared" si="24"/>
        <v>408</v>
      </c>
      <c r="L50" s="4">
        <f t="shared" si="25"/>
        <v>19200</v>
      </c>
      <c r="M50" s="4">
        <f t="shared" si="26"/>
        <v>32640</v>
      </c>
      <c r="N50" s="12" t="str">
        <f t="shared" si="27"/>
        <v>KEEP SELLING</v>
      </c>
    </row>
    <row r="51" spans="1:14" ht="18" customHeight="1" x14ac:dyDescent="0.25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</v>
      </c>
      <c r="G51" s="2">
        <f t="shared" si="22"/>
        <v>240</v>
      </c>
      <c r="H51" s="3">
        <v>26</v>
      </c>
      <c r="I51" s="3"/>
      <c r="J51" s="14">
        <f t="shared" si="23"/>
        <v>26</v>
      </c>
      <c r="K51" s="3">
        <f t="shared" si="24"/>
        <v>-24</v>
      </c>
      <c r="L51" s="4">
        <f t="shared" si="25"/>
        <v>3120</v>
      </c>
      <c r="M51" s="4">
        <f t="shared" si="26"/>
        <v>-2880</v>
      </c>
      <c r="N51" s="12" t="str">
        <f t="shared" si="27"/>
        <v>DO NOT SELL</v>
      </c>
    </row>
    <row r="52" spans="1:14" ht="18" customHeight="1" x14ac:dyDescent="0.25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41</v>
      </c>
      <c r="G52" s="2">
        <f t="shared" si="22"/>
        <v>2050</v>
      </c>
      <c r="H52" s="3"/>
      <c r="I52" s="3"/>
      <c r="J52" s="14">
        <f t="shared" si="23"/>
        <v>0</v>
      </c>
      <c r="K52" s="3">
        <f t="shared" si="24"/>
        <v>41</v>
      </c>
      <c r="L52" s="4">
        <f t="shared" si="25"/>
        <v>0</v>
      </c>
      <c r="M52" s="4">
        <f t="shared" si="26"/>
        <v>2050</v>
      </c>
      <c r="N52" s="12" t="str">
        <f t="shared" si="27"/>
        <v>KEEP SELLING</v>
      </c>
    </row>
    <row r="53" spans="1:14" ht="18" customHeight="1" x14ac:dyDescent="0.25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286</v>
      </c>
      <c r="G53" s="2">
        <f t="shared" si="22"/>
        <v>22880</v>
      </c>
      <c r="H53" s="3"/>
      <c r="I53" s="3"/>
      <c r="J53" s="14">
        <f t="shared" si="23"/>
        <v>0</v>
      </c>
      <c r="K53" s="3">
        <f t="shared" si="24"/>
        <v>286</v>
      </c>
      <c r="L53" s="4">
        <f t="shared" si="25"/>
        <v>0</v>
      </c>
      <c r="M53" s="4">
        <f t="shared" si="26"/>
        <v>22880</v>
      </c>
      <c r="N53" s="12" t="str">
        <f t="shared" si="27"/>
        <v>KEEP SELLING</v>
      </c>
    </row>
    <row r="54" spans="1:14" ht="18" customHeight="1" x14ac:dyDescent="0.25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2</v>
      </c>
      <c r="G54" s="2">
        <f t="shared" si="22"/>
        <v>240</v>
      </c>
      <c r="H54" s="3">
        <v>37</v>
      </c>
      <c r="I54" s="3"/>
      <c r="J54" s="14">
        <f t="shared" si="23"/>
        <v>37</v>
      </c>
      <c r="K54" s="3">
        <f t="shared" si="24"/>
        <v>-35</v>
      </c>
      <c r="L54" s="4">
        <f t="shared" si="25"/>
        <v>4440</v>
      </c>
      <c r="M54" s="4">
        <f t="shared" si="26"/>
        <v>-4200</v>
      </c>
      <c r="N54" s="12" t="str">
        <f t="shared" si="27"/>
        <v>DO NOT SELL</v>
      </c>
    </row>
    <row r="55" spans="1:14" ht="18" customHeight="1" x14ac:dyDescent="0.25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40</v>
      </c>
      <c r="G55" s="2">
        <f t="shared" si="22"/>
        <v>2000</v>
      </c>
      <c r="H55" s="3"/>
      <c r="I55" s="3"/>
      <c r="J55" s="14">
        <f t="shared" si="23"/>
        <v>0</v>
      </c>
      <c r="K55" s="3">
        <f t="shared" si="24"/>
        <v>40</v>
      </c>
      <c r="L55" s="4">
        <f t="shared" si="25"/>
        <v>0</v>
      </c>
      <c r="M55" s="4">
        <f t="shared" si="26"/>
        <v>2000</v>
      </c>
      <c r="N55" s="12" t="str">
        <f t="shared" si="27"/>
        <v>KEEP SELLING</v>
      </c>
    </row>
    <row r="56" spans="1:14" ht="18" customHeight="1" x14ac:dyDescent="0.25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142</v>
      </c>
      <c r="G56" s="2">
        <f t="shared" si="22"/>
        <v>11360</v>
      </c>
      <c r="H56" s="3"/>
      <c r="I56" s="3"/>
      <c r="J56" s="14">
        <f t="shared" si="23"/>
        <v>0</v>
      </c>
      <c r="K56" s="3">
        <f t="shared" si="24"/>
        <v>142</v>
      </c>
      <c r="L56" s="4">
        <f t="shared" si="25"/>
        <v>0</v>
      </c>
      <c r="M56" s="4">
        <f t="shared" si="26"/>
        <v>11360</v>
      </c>
      <c r="N56" s="12" t="str">
        <f t="shared" si="27"/>
        <v>KEEP SELLING</v>
      </c>
    </row>
    <row r="57" spans="1:14" ht="18" customHeight="1" x14ac:dyDescent="0.25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2</v>
      </c>
      <c r="G57" s="2">
        <f t="shared" si="22"/>
        <v>240</v>
      </c>
      <c r="H57" s="3">
        <v>36</v>
      </c>
      <c r="I57" s="3"/>
      <c r="J57" s="14">
        <f t="shared" si="23"/>
        <v>36</v>
      </c>
      <c r="K57" s="3">
        <f t="shared" si="24"/>
        <v>-34</v>
      </c>
      <c r="L57" s="4">
        <f t="shared" si="25"/>
        <v>4320</v>
      </c>
      <c r="M57" s="4">
        <f t="shared" si="26"/>
        <v>-4080</v>
      </c>
      <c r="N57" s="12" t="str">
        <f t="shared" si="27"/>
        <v>DO NOT SELL</v>
      </c>
    </row>
    <row r="58" spans="1:14" ht="18" customHeight="1" x14ac:dyDescent="0.25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30</v>
      </c>
      <c r="G58" s="2">
        <f t="shared" si="22"/>
        <v>1500</v>
      </c>
      <c r="H58" s="3"/>
      <c r="I58" s="20">
        <v>100</v>
      </c>
      <c r="J58" s="14">
        <f t="shared" si="23"/>
        <v>100</v>
      </c>
      <c r="K58" s="3">
        <f t="shared" si="24"/>
        <v>-70</v>
      </c>
      <c r="L58" s="4">
        <f t="shared" si="25"/>
        <v>5000</v>
      </c>
      <c r="M58" s="4">
        <f t="shared" si="26"/>
        <v>-3500</v>
      </c>
      <c r="N58" s="12" t="str">
        <f t="shared" si="27"/>
        <v>DO NOT SELL</v>
      </c>
    </row>
    <row r="59" spans="1:14" ht="18" customHeight="1" x14ac:dyDescent="0.25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66</v>
      </c>
      <c r="G59" s="2">
        <f t="shared" si="22"/>
        <v>5280</v>
      </c>
      <c r="H59" s="3">
        <v>2</v>
      </c>
      <c r="I59" s="3"/>
      <c r="J59" s="14">
        <f t="shared" si="23"/>
        <v>2</v>
      </c>
      <c r="K59" s="3">
        <f t="shared" si="24"/>
        <v>64</v>
      </c>
      <c r="L59" s="4">
        <f t="shared" si="25"/>
        <v>160</v>
      </c>
      <c r="M59" s="4">
        <f t="shared" si="26"/>
        <v>5120</v>
      </c>
      <c r="N59" s="12" t="str">
        <f t="shared" si="27"/>
        <v>KEEP SELLING</v>
      </c>
    </row>
    <row r="60" spans="1:14" ht="18" customHeight="1" x14ac:dyDescent="0.25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92</v>
      </c>
      <c r="G60" s="2">
        <f t="shared" si="22"/>
        <v>4600</v>
      </c>
      <c r="H60" s="3"/>
      <c r="I60" s="20">
        <v>100</v>
      </c>
      <c r="J60" s="14">
        <f t="shared" si="23"/>
        <v>100</v>
      </c>
      <c r="K60" s="3">
        <f t="shared" si="24"/>
        <v>-8</v>
      </c>
      <c r="L60" s="4">
        <f t="shared" si="25"/>
        <v>5000</v>
      </c>
      <c r="M60" s="4">
        <f t="shared" si="26"/>
        <v>-400</v>
      </c>
      <c r="N60" s="12" t="str">
        <f t="shared" si="27"/>
        <v>DO NOT SELL</v>
      </c>
    </row>
    <row r="61" spans="1:14" ht="18" customHeight="1" x14ac:dyDescent="0.25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75</v>
      </c>
      <c r="G61" s="2">
        <f t="shared" si="22"/>
        <v>6000</v>
      </c>
      <c r="H61" s="3"/>
      <c r="I61" s="3"/>
      <c r="J61" s="14">
        <f t="shared" si="23"/>
        <v>0</v>
      </c>
      <c r="K61" s="3">
        <f t="shared" si="24"/>
        <v>75</v>
      </c>
      <c r="L61" s="4">
        <f t="shared" si="25"/>
        <v>0</v>
      </c>
      <c r="M61" s="4">
        <f t="shared" si="26"/>
        <v>6000</v>
      </c>
      <c r="N61" s="12" t="str">
        <f t="shared" si="27"/>
        <v>KEEP SELLING</v>
      </c>
    </row>
    <row r="62" spans="1:14" ht="18" customHeight="1" x14ac:dyDescent="0.25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43</v>
      </c>
      <c r="G62" s="2">
        <f t="shared" si="22"/>
        <v>2150</v>
      </c>
      <c r="H62" s="3"/>
      <c r="I62" s="20">
        <v>100</v>
      </c>
      <c r="J62" s="14">
        <f t="shared" si="23"/>
        <v>100</v>
      </c>
      <c r="K62" s="3">
        <f t="shared" si="24"/>
        <v>-57</v>
      </c>
      <c r="L62" s="4">
        <f t="shared" si="25"/>
        <v>5000</v>
      </c>
      <c r="M62" s="4">
        <f t="shared" si="26"/>
        <v>-2850</v>
      </c>
      <c r="N62" s="12" t="str">
        <f t="shared" si="27"/>
        <v>DO NOT SELL</v>
      </c>
    </row>
    <row r="63" spans="1:14" ht="18" customHeight="1" x14ac:dyDescent="0.25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15</v>
      </c>
      <c r="G63" s="2">
        <f t="shared" si="22"/>
        <v>1200</v>
      </c>
      <c r="H63" s="3">
        <v>2</v>
      </c>
      <c r="I63" s="20">
        <v>10</v>
      </c>
      <c r="J63" s="14">
        <f t="shared" si="23"/>
        <v>12</v>
      </c>
      <c r="K63" s="3">
        <f t="shared" si="24"/>
        <v>3</v>
      </c>
      <c r="L63" s="4">
        <f t="shared" si="25"/>
        <v>960</v>
      </c>
      <c r="M63" s="4">
        <f t="shared" si="26"/>
        <v>240</v>
      </c>
      <c r="N63" s="12" t="str">
        <f t="shared" si="27"/>
        <v>KEEP SELLING</v>
      </c>
    </row>
    <row r="64" spans="1:14" ht="18" customHeight="1" x14ac:dyDescent="0.25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33</v>
      </c>
      <c r="G64" s="2">
        <f t="shared" ref="G64:G72" si="28">E64*F64</f>
        <v>1650</v>
      </c>
      <c r="H64" s="3"/>
      <c r="I64" s="20">
        <v>99</v>
      </c>
      <c r="J64" s="14">
        <f t="shared" ref="J64:J72" si="29">H64+I64</f>
        <v>99</v>
      </c>
      <c r="K64" s="3">
        <f t="shared" ref="K64:K72" si="30">F64-J64</f>
        <v>-66</v>
      </c>
      <c r="L64" s="4">
        <f t="shared" ref="L64:L72" si="31">J64*E64</f>
        <v>4950</v>
      </c>
      <c r="M64" s="4">
        <f t="shared" ref="M64:M72" si="32">G64-L64</f>
        <v>-3300</v>
      </c>
      <c r="N64" s="12" t="str">
        <f t="shared" ref="N64:N72" si="33">IF(M64&gt;0,"KEEP SELLING", "DO NOT SELL")</f>
        <v>DO NOT SELL</v>
      </c>
    </row>
    <row r="65" spans="1:14" ht="18" customHeight="1" x14ac:dyDescent="0.25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8</v>
      </c>
      <c r="G65" s="2">
        <f t="shared" si="28"/>
        <v>640</v>
      </c>
      <c r="H65" s="3">
        <v>1</v>
      </c>
      <c r="I65" s="20">
        <v>10</v>
      </c>
      <c r="J65" s="14">
        <f t="shared" si="29"/>
        <v>11</v>
      </c>
      <c r="K65" s="3">
        <f t="shared" si="30"/>
        <v>-3</v>
      </c>
      <c r="L65" s="4">
        <f t="shared" si="31"/>
        <v>880</v>
      </c>
      <c r="M65" s="4">
        <f t="shared" si="32"/>
        <v>-240</v>
      </c>
      <c r="N65" s="12" t="str">
        <f t="shared" si="33"/>
        <v>DO NOT SELL</v>
      </c>
    </row>
    <row r="66" spans="1:14" ht="18" customHeight="1" x14ac:dyDescent="0.25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7</v>
      </c>
      <c r="G66" s="2">
        <f t="shared" si="28"/>
        <v>350</v>
      </c>
      <c r="H66" s="3"/>
      <c r="I66" s="3"/>
      <c r="J66" s="14">
        <f t="shared" si="29"/>
        <v>0</v>
      </c>
      <c r="K66" s="3">
        <f t="shared" si="30"/>
        <v>7</v>
      </c>
      <c r="L66" s="4">
        <f t="shared" si="31"/>
        <v>0</v>
      </c>
      <c r="M66" s="4">
        <f t="shared" si="32"/>
        <v>350</v>
      </c>
      <c r="N66" s="12" t="str">
        <f t="shared" si="33"/>
        <v>KEEP SELLING</v>
      </c>
    </row>
    <row r="67" spans="1:14" ht="18" customHeight="1" x14ac:dyDescent="0.25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29</v>
      </c>
      <c r="G67" s="2">
        <f t="shared" si="28"/>
        <v>2320</v>
      </c>
      <c r="H67" s="3">
        <v>1</v>
      </c>
      <c r="I67" s="20">
        <v>10</v>
      </c>
      <c r="J67" s="14">
        <f t="shared" si="29"/>
        <v>11</v>
      </c>
      <c r="K67" s="3">
        <f t="shared" si="30"/>
        <v>18</v>
      </c>
      <c r="L67" s="4">
        <f t="shared" si="31"/>
        <v>880</v>
      </c>
      <c r="M67" s="4">
        <f t="shared" si="32"/>
        <v>1440</v>
      </c>
      <c r="N67" s="12" t="str">
        <f t="shared" si="33"/>
        <v>KEEP SELLING</v>
      </c>
    </row>
    <row r="68" spans="1:14" ht="18" customHeight="1" x14ac:dyDescent="0.25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46</v>
      </c>
      <c r="G68" s="2">
        <f t="shared" si="28"/>
        <v>2300</v>
      </c>
      <c r="H68" s="3"/>
      <c r="I68" s="3"/>
      <c r="J68" s="14">
        <f t="shared" si="29"/>
        <v>0</v>
      </c>
      <c r="K68" s="3">
        <f t="shared" si="30"/>
        <v>46</v>
      </c>
      <c r="L68" s="4">
        <f t="shared" si="31"/>
        <v>0</v>
      </c>
      <c r="M68" s="4">
        <f t="shared" si="32"/>
        <v>2300</v>
      </c>
      <c r="N68" s="12" t="str">
        <f t="shared" si="33"/>
        <v>KEEP SELLING</v>
      </c>
    </row>
    <row r="69" spans="1:14" ht="18" customHeight="1" x14ac:dyDescent="0.25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101</v>
      </c>
      <c r="G69" s="2">
        <f t="shared" si="28"/>
        <v>8080</v>
      </c>
      <c r="H69" s="3">
        <v>4</v>
      </c>
      <c r="I69" s="20">
        <v>10</v>
      </c>
      <c r="J69" s="14">
        <f t="shared" si="29"/>
        <v>14</v>
      </c>
      <c r="K69" s="3">
        <f t="shared" si="30"/>
        <v>87</v>
      </c>
      <c r="L69" s="4">
        <f t="shared" si="31"/>
        <v>1120</v>
      </c>
      <c r="M69" s="4">
        <f t="shared" si="32"/>
        <v>6960</v>
      </c>
      <c r="N69" s="12" t="str">
        <f t="shared" si="33"/>
        <v>KEEP SELLING</v>
      </c>
    </row>
    <row r="70" spans="1:14" ht="18" customHeight="1" x14ac:dyDescent="0.25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2</v>
      </c>
      <c r="G70" s="2">
        <f t="shared" si="28"/>
        <v>100</v>
      </c>
      <c r="H70" s="3"/>
      <c r="I70" s="3"/>
      <c r="J70" s="14">
        <f t="shared" si="29"/>
        <v>0</v>
      </c>
      <c r="K70" s="3">
        <f t="shared" si="30"/>
        <v>2</v>
      </c>
      <c r="L70" s="4">
        <f t="shared" si="31"/>
        <v>0</v>
      </c>
      <c r="M70" s="4">
        <f t="shared" si="32"/>
        <v>100</v>
      </c>
      <c r="N70" s="12" t="str">
        <f t="shared" si="33"/>
        <v>KEEP SELLING</v>
      </c>
    </row>
    <row r="71" spans="1:14" ht="18" customHeight="1" x14ac:dyDescent="0.25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23</v>
      </c>
      <c r="G71" s="2">
        <f t="shared" si="28"/>
        <v>1150</v>
      </c>
      <c r="H71" s="3">
        <v>2</v>
      </c>
      <c r="I71" s="20">
        <v>8</v>
      </c>
      <c r="J71" s="14">
        <f t="shared" si="29"/>
        <v>10</v>
      </c>
      <c r="K71" s="3">
        <f t="shared" si="30"/>
        <v>13</v>
      </c>
      <c r="L71" s="4">
        <f t="shared" si="31"/>
        <v>500</v>
      </c>
      <c r="M71" s="4">
        <f t="shared" si="32"/>
        <v>650</v>
      </c>
      <c r="N71" s="12" t="str">
        <f t="shared" si="33"/>
        <v>KEEP SELLING</v>
      </c>
    </row>
    <row r="72" spans="1:14" ht="18" customHeight="1" x14ac:dyDescent="0.25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47</v>
      </c>
      <c r="G72" s="2">
        <f t="shared" si="28"/>
        <v>3760</v>
      </c>
      <c r="H72" s="3">
        <v>2</v>
      </c>
      <c r="I72" s="20">
        <v>10</v>
      </c>
      <c r="J72" s="14">
        <f t="shared" si="29"/>
        <v>12</v>
      </c>
      <c r="K72" s="3">
        <f t="shared" si="30"/>
        <v>35</v>
      </c>
      <c r="L72" s="4">
        <f t="shared" si="31"/>
        <v>960</v>
      </c>
      <c r="M72" s="4">
        <f t="shared" si="32"/>
        <v>2800</v>
      </c>
      <c r="N72" s="12" t="str">
        <f t="shared" si="33"/>
        <v>KEEP SELLING</v>
      </c>
    </row>
    <row r="73" spans="1:14" ht="18" customHeight="1" x14ac:dyDescent="0.25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46</v>
      </c>
      <c r="G73" s="2">
        <f t="shared" ref="G73:G74" si="34">E73*F73</f>
        <v>2300</v>
      </c>
      <c r="H73" s="3">
        <v>3</v>
      </c>
      <c r="I73" s="20">
        <v>7</v>
      </c>
      <c r="J73" s="14">
        <f t="shared" ref="J73:J74" si="35">H73+I73</f>
        <v>10</v>
      </c>
      <c r="K73" s="3">
        <f t="shared" ref="K73:K74" si="36">F73-J73</f>
        <v>36</v>
      </c>
      <c r="L73" s="4">
        <f t="shared" ref="L73:L74" si="37">J73*E73</f>
        <v>500</v>
      </c>
      <c r="M73" s="4">
        <f t="shared" ref="M73:M74" si="38">G73-L73</f>
        <v>1800</v>
      </c>
      <c r="N73" s="12" t="str">
        <f t="shared" ref="N73:N74" si="39">IF(M73&gt;0,"KEEP SELLING", "DO NOT SELL")</f>
        <v>KEEP SELLING</v>
      </c>
    </row>
    <row r="74" spans="1:14" ht="18" customHeight="1" x14ac:dyDescent="0.25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35</v>
      </c>
      <c r="G74" s="2">
        <f t="shared" si="34"/>
        <v>2800</v>
      </c>
      <c r="H74" s="3">
        <v>4</v>
      </c>
      <c r="I74" s="20">
        <v>10</v>
      </c>
      <c r="J74" s="14">
        <f t="shared" si="35"/>
        <v>14</v>
      </c>
      <c r="K74" s="3">
        <f t="shared" si="36"/>
        <v>21</v>
      </c>
      <c r="L74" s="4">
        <f t="shared" si="37"/>
        <v>1120</v>
      </c>
      <c r="M74" s="4">
        <f t="shared" si="38"/>
        <v>1680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Ricardo Pereyra</cp:lastModifiedBy>
  <cp:revision>1</cp:revision>
  <dcterms:created xsi:type="dcterms:W3CDTF">2025-06-23T13:55:17Z</dcterms:created>
  <dcterms:modified xsi:type="dcterms:W3CDTF">2026-03-18T18:12:40Z</dcterms:modified>
  <cp:category/>
  <cp:contentStatus/>
</cp:coreProperties>
</file>