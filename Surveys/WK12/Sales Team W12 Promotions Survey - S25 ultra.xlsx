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12\"/>
    </mc:Choice>
  </mc:AlternateContent>
  <xr:revisionPtr revIDLastSave="0" documentId="13_ncr:1_{D87CA2FF-C54C-4B33-A882-CDC2860A353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ending to samsung" sheetId="14" r:id="rId1"/>
  </sheets>
  <definedNames>
    <definedName name="_xlnm._FilterDatabase" localSheetId="0" hidden="1">'sending to samsung'!$A$1:$N$2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4" l="1"/>
  <c r="K2" i="14" s="1"/>
  <c r="G2" i="14" l="1"/>
  <c r="P2" i="14" s="1"/>
  <c r="L2" i="14" l="1"/>
  <c r="Q2" i="14" s="1"/>
  <c r="R2" i="14" l="1"/>
  <c r="M2" i="14"/>
  <c r="N2" i="14" s="1"/>
</calcChain>
</file>

<file path=xl/sharedStrings.xml><?xml version="1.0" encoding="utf-8"?>
<sst xmlns="http://schemas.openxmlformats.org/spreadsheetml/2006/main" count="19" uniqueCount="17">
  <si>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</si>
  <si>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</si>
  <si>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</si>
  <si>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</si>
  <si>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</si>
  <si>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</si>
  <si>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</si>
  <si>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</si>
  <si>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</si>
  <si>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</si>
  <si>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</si>
  <si>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</si>
  <si>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</si>
  <si>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G-S25-ULTRA</t>
  </si>
  <si>
    <t>0161</t>
  </si>
  <si>
    <t>A0S3A0A260000252</t>
  </si>
  <si>
    <t>WK11-12 S25 ULTRA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</si>
</sst>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0" borderId="0"/>
  </cellStyleXfs>
  <cellXfs count="17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8" fontId="0" fillId="5" borderId="0" xfId="0" applyNumberFormat="1" applyFill="1"/>
    <xf numFmtId="0" fontId="1" fillId="6" borderId="1" xfId="0" applyFont="1" applyFill="1" applyBorder="1"/>
    <xf numFmtId="3" fontId="0" fillId="4" borderId="1" xfId="0" applyNumberFormat="1" applyFill="1" applyBorder="1"/>
    <xf numFmtId="1" fontId="2" fillId="3" borderId="1" xfId="0" applyNumberFormat="1" applyFont="1" applyFill="1" applyBorder="1"/>
    <xf numFmtId="0" fontId="2" fillId="5" borderId="1" xfId="0" quotePrefix="1" applyFont="1" applyFill="1" applyBorder="1"/>
    <xf numFmtId="0" fontId="0" fillId="0" borderId="1" xfId="0" applyBorder="1"/>
  </cellXfs>
  <cellStyles count="3">
    <cellStyle name="Currency" xfId="1" builtinId="4"/>
    <cellStyle name="Normal" xfId="0" builtinId="0"/>
    <cellStyle name="Normal 2" xfId="2" xr:uid="{71CBD30A-C2EB-4FAB-85DE-5C90F11814F9}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A572-DBCA-4727-9FCC-B7F090A43239}">
  <dimension ref="A1:R2"/>
  <sheetViews>
    <sheetView showGridLines="0" tabSelected="1" zoomScale="85" zoomScaleNormal="85" workbookViewId="0">
      <pane ySplit="1" topLeftCell="A2" activePane="bottomLeft" state="frozen"/>
      <selection pane="bottomLeft" activeCell="K1" sqref="K1"/>
    </sheetView>
  </sheetViews>
  <sheetFormatPr defaultRowHeight="18" customHeight="1" x14ac:dyDescent="0.2"/>
  <cols>
    <col min="1" max="1" width="20.140625" bestFit="1" customWidth="1"/>
    <col min="2" max="2" width="45.140625" bestFit="1" customWidth="1"/>
    <col min="3" max="4" width="16.28515625" bestFit="1" customWidth="1"/>
    <col min="5" max="5" width="8.57031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7" width="12" bestFit="1" customWidth="1"/>
    <col min="18" max="18" width="11.42578125" bestFit="1" customWidth="1"/>
  </cols>
  <sheetData>
    <row r="1" spans="1:18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5" t="s">
        <v>14</v>
      </c>
    </row>
    <row r="2" spans="1:18" ht="18" customHeight="1" x14ac:dyDescent="0.2">
      <c r="A2" s="16" t="s">
        <v>15</v>
      </c>
      <c r="B2" s="16" t="s">
        <v>16</v>
      </c>
      <c r="C2" s="16" t="s">
        <v>13</v>
      </c>
      <c r="D2" s="16" t="s">
        <v>13</v>
      </c>
      <c r="E2" s="2">
        <v>76</v>
      </c>
      <c r="F2" s="13">
        <v>1870</v>
      </c>
      <c r="G2" s="2">
        <f t="shared" ref="G2" si="0">E2*F2</f>
        <v>142120</v>
      </c>
      <c r="H2" s="3">
        <v>2</v>
      </c>
      <c r="I2" s="3">
        <v>874</v>
      </c>
      <c r="J2" s="14">
        <f>H2+I2</f>
        <v>876</v>
      </c>
      <c r="K2" s="3">
        <f>F2-J2</f>
        <v>994</v>
      </c>
      <c r="L2" s="4">
        <f t="shared" ref="L2" si="1">J2*E2</f>
        <v>66576</v>
      </c>
      <c r="M2" s="4">
        <f t="shared" ref="M2" si="2">G2-L2</f>
        <v>75544</v>
      </c>
      <c r="N2" s="12" t="str">
        <f t="shared" ref="N2" si="3">IF(M2&gt;0,"KEEP SELLING", "DO NOT SELL")</f>
        <v>KEEP SELLING</v>
      </c>
      <c r="P2" s="10">
        <f>SUM(G2:G2)</f>
        <v>142120</v>
      </c>
      <c r="Q2" s="9">
        <f>SUM(L2:L2)</f>
        <v>66576</v>
      </c>
      <c r="R2" s="11">
        <f>P2-Q2</f>
        <v>75544</v>
      </c>
    </row>
  </sheetData>
  <autoFilter ref="A1:N2" xr:uid="{E531A572-DBCA-4727-9FCC-B7F090A43239}"/>
  <conditionalFormatting sqref="H2:N2">
    <cfRule type="cellIs" dxfId="2" priority="1" operator="lessThan">
      <formula>0</formula>
    </cfRule>
  </conditionalFormatting>
  <conditionalFormatting sqref="N1:N1048576">
    <cfRule type="containsText" dxfId="1" priority="13" operator="containsText" text="DO NOT SELL">
      <formula>NOT(ISERROR(SEARCH("DO NOT SELL",N1)))</formula>
    </cfRule>
    <cfRule type="containsText" dxfId="0" priority="14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sending to samsung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2026-03-16T18:42:11Z</dcterms:modified>
  <cp:category/>
  <cp:contentStatus/>
</cp:coreProperties>
</file>