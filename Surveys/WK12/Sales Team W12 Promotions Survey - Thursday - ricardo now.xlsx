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D08A672F-AB8D-4873-BD32-CAF0AF8BFAF4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4" l="1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7" i="14" l="1"/>
  <c r="P8" i="14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<sst xmlns="http://schemas.openxmlformats.org/spreadsheetml/2006/main" count="313" uniqueCount="98">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</sst>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topLeftCell="B1" zoomScale="106" zoomScaleNormal="106" workbookViewId="0">
      <pane ySplit="1" topLeftCell="A32" activePane="bottomLeft" state="frozen"/>
      <selection pane="bottomLeft" activeCell="H37" sqref="H37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689</v>
      </c>
      <c r="I2" s="3">
        <v>1004</v>
      </c>
      <c r="J2" s="14">
        <f>H2+I2</f>
        <v>1693</v>
      </c>
      <c r="K2" s="3">
        <f>F2-J2</f>
        <v>177</v>
      </c>
      <c r="L2" s="4">
        <f t="shared" ref="L2" si="1">J2*E2</f>
        <v>128668</v>
      </c>
      <c r="M2" s="4">
        <f t="shared" ref="M2" si="2">G2-L2</f>
        <v>13452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SUM(L2)</f>
        <v>128668</v>
      </c>
      <c r="R2" s="11">
        <f>P2-Q2</f>
        <v>13452</v>
      </c>
      <c r="S2" s="11">
        <f>P3-Q3</f>
        <v>1785</v>
      </c>
      <c r="T2" s="11">
        <f>P4-Q4</f>
        <v>0</v>
      </c>
      <c r="U2" s="19">
        <f>P5-Q5</f>
        <v>-3598</v>
      </c>
      <c r="V2" s="11">
        <f>P6-Q6</f>
        <v>14240</v>
      </c>
      <c r="W2" s="11">
        <f>P7-Q7</f>
        <v>30890</v>
      </c>
      <c r="X2" s="11">
        <f>P8-Q8</f>
        <v>2530</v>
      </c>
    </row>
    <row r="3" spans="1:24" ht="18" customHeight="1" x14ac:dyDescent="0.2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100</v>
      </c>
      <c r="G3" s="2">
        <f t="shared" ref="G3:G15" si="4">E3*F3</f>
        <v>500</v>
      </c>
      <c r="H3" s="3"/>
      <c r="I3" s="3">
        <v>100</v>
      </c>
      <c r="J3" s="14">
        <f t="shared" ref="J3:J14" si="5">H3+I3</f>
        <v>100</v>
      </c>
      <c r="K3" s="3">
        <f t="shared" ref="K3:K14" si="6">F3-J3</f>
        <v>0</v>
      </c>
      <c r="L3" s="4">
        <f t="shared" ref="L3:L15" si="7">J3*E3</f>
        <v>500</v>
      </c>
      <c r="M3" s="4">
        <f t="shared" ref="M3:M15" si="8">G3-L3</f>
        <v>0</v>
      </c>
      <c r="N3" s="12" t="str">
        <f t="shared" ref="N3:N15" si="9">IF(M3&gt;0,"KEEP SELLING", "DO NOT SELL")</f>
        <v>DO NOT SELL</v>
      </c>
      <c r="P3" s="10">
        <f>SUM(G3:G28)</f>
        <v>41570</v>
      </c>
      <c r="Q3" s="9">
        <f>SUM(L3:L28)</f>
        <v>39785</v>
      </c>
    </row>
    <row r="4" spans="1:24" ht="18" customHeight="1" x14ac:dyDescent="0.2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550</v>
      </c>
      <c r="G4" s="2">
        <f t="shared" si="4"/>
        <v>2750</v>
      </c>
      <c r="H4" s="3">
        <v>550</v>
      </c>
      <c r="I4" s="3"/>
      <c r="J4" s="14">
        <f t="shared" si="5"/>
        <v>550</v>
      </c>
      <c r="K4" s="3">
        <f t="shared" si="6"/>
        <v>0</v>
      </c>
      <c r="L4" s="4">
        <f t="shared" si="7"/>
        <v>2750</v>
      </c>
      <c r="M4" s="4">
        <f t="shared" si="8"/>
        <v>0</v>
      </c>
      <c r="N4" s="12" t="str">
        <f t="shared" si="9"/>
        <v>DO NOT SELL</v>
      </c>
      <c r="P4" s="10">
        <f>SUM(G29:G31)</f>
        <v>23940</v>
      </c>
      <c r="Q4" s="9">
        <f>SUM(L29:L31)</f>
        <v>23940</v>
      </c>
    </row>
    <row r="5" spans="1:24" ht="18" customHeight="1" x14ac:dyDescent="0.2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1000</v>
      </c>
      <c r="G5" s="2">
        <f t="shared" si="4"/>
        <v>2000</v>
      </c>
      <c r="H5" s="3">
        <v>1000</v>
      </c>
      <c r="I5" s="3"/>
      <c r="J5" s="14">
        <f t="shared" si="5"/>
        <v>1000</v>
      </c>
      <c r="K5" s="3">
        <f t="shared" si="6"/>
        <v>0</v>
      </c>
      <c r="L5" s="4">
        <f t="shared" si="7"/>
        <v>2000</v>
      </c>
      <c r="M5" s="4">
        <f t="shared" si="8"/>
        <v>0</v>
      </c>
      <c r="N5" s="12" t="str">
        <f t="shared" si="9"/>
        <v>DO NOT SELL</v>
      </c>
      <c r="P5" s="10">
        <f>SUM(G32:G34)</f>
        <v>55566</v>
      </c>
      <c r="Q5" s="9">
        <f>SUM(L32:L34)</f>
        <v>59164</v>
      </c>
    </row>
    <row r="6" spans="1:24" ht="18" customHeight="1" x14ac:dyDescent="0.2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600</v>
      </c>
      <c r="G6" s="2">
        <f t="shared" si="4"/>
        <v>3000</v>
      </c>
      <c r="H6" s="3">
        <v>500</v>
      </c>
      <c r="I6" s="3">
        <v>485</v>
      </c>
      <c r="J6" s="14">
        <f t="shared" si="5"/>
        <v>985</v>
      </c>
      <c r="K6" s="3">
        <f t="shared" si="6"/>
        <v>-385</v>
      </c>
      <c r="L6" s="4">
        <f t="shared" si="7"/>
        <v>4925</v>
      </c>
      <c r="M6" s="4">
        <f t="shared" si="8"/>
        <v>-1925</v>
      </c>
      <c r="N6" s="12" t="str">
        <f t="shared" si="9"/>
        <v>DO NOT SELL</v>
      </c>
      <c r="P6" s="10">
        <f>SUM(G35:G45)</f>
        <v>47048</v>
      </c>
      <c r="Q6" s="9">
        <f>SUM(L35:L45)</f>
        <v>32808</v>
      </c>
    </row>
    <row r="7" spans="1:24" ht="18" customHeight="1" x14ac:dyDescent="0.2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0</v>
      </c>
      <c r="G7" s="2">
        <f t="shared" si="4"/>
        <v>0</v>
      </c>
      <c r="H7" s="3"/>
      <c r="I7" s="3"/>
      <c r="J7" s="14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  <c r="P7" s="10">
        <f>SUM(G46:G557)</f>
        <v>74150</v>
      </c>
      <c r="Q7" s="9">
        <f>SUM(L44:L57)</f>
        <v>43260</v>
      </c>
    </row>
    <row r="8" spans="1:24" ht="18" customHeight="1" x14ac:dyDescent="0.2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320</v>
      </c>
      <c r="G8" s="2">
        <f t="shared" si="4"/>
        <v>9600</v>
      </c>
      <c r="H8" s="3">
        <v>91</v>
      </c>
      <c r="I8" s="3">
        <v>108</v>
      </c>
      <c r="J8" s="14">
        <f t="shared" si="5"/>
        <v>199</v>
      </c>
      <c r="K8" s="3">
        <f t="shared" si="6"/>
        <v>121</v>
      </c>
      <c r="L8" s="4">
        <f t="shared" si="7"/>
        <v>5970</v>
      </c>
      <c r="M8" s="4">
        <f t="shared" si="8"/>
        <v>3630</v>
      </c>
      <c r="N8" s="12" t="str">
        <f t="shared" si="9"/>
        <v>KEEP SELLING</v>
      </c>
      <c r="P8" s="10">
        <f>SUM(G58:G74)</f>
        <v>27030</v>
      </c>
      <c r="Q8" s="9">
        <f>SUM(L58:L74)</f>
        <v>24500</v>
      </c>
    </row>
    <row r="9" spans="1:24" ht="18" customHeight="1" x14ac:dyDescent="0.2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284</v>
      </c>
      <c r="G9" s="2">
        <f t="shared" si="4"/>
        <v>22720</v>
      </c>
      <c r="H9" s="3">
        <v>84</v>
      </c>
      <c r="I9" s="3">
        <v>199</v>
      </c>
      <c r="J9" s="14">
        <f t="shared" si="5"/>
        <v>283</v>
      </c>
      <c r="K9" s="3">
        <f t="shared" si="6"/>
        <v>1</v>
      </c>
      <c r="L9" s="4">
        <f t="shared" si="7"/>
        <v>22640</v>
      </c>
      <c r="M9" s="4">
        <f t="shared" si="8"/>
        <v>80</v>
      </c>
      <c r="N9" s="12" t="str">
        <f t="shared" si="9"/>
        <v>KEEP SELLING</v>
      </c>
    </row>
    <row r="10" spans="1:24" ht="18" customHeight="1" x14ac:dyDescent="0.2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50</v>
      </c>
      <c r="G11" s="2">
        <f t="shared" si="4"/>
        <v>500</v>
      </c>
      <c r="H11" s="3"/>
      <c r="I11" s="3">
        <v>50</v>
      </c>
      <c r="J11" s="14">
        <f t="shared" si="5"/>
        <v>50</v>
      </c>
      <c r="K11" s="3">
        <f t="shared" si="6"/>
        <v>0</v>
      </c>
      <c r="L11" s="4">
        <f t="shared" si="7"/>
        <v>500</v>
      </c>
      <c r="M11" s="4">
        <f t="shared" si="8"/>
        <v>0</v>
      </c>
      <c r="N11" s="12" t="str">
        <f t="shared" si="9"/>
        <v>DO NOT SELL</v>
      </c>
    </row>
    <row r="12" spans="1:24" ht="18" customHeight="1" x14ac:dyDescent="0.2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0</v>
      </c>
      <c r="G12" s="2">
        <f t="shared" si="4"/>
        <v>0</v>
      </c>
      <c r="H12" s="3"/>
      <c r="I12" s="3"/>
      <c r="J12" s="14">
        <f t="shared" si="5"/>
        <v>0</v>
      </c>
      <c r="K12" s="3">
        <f t="shared" si="6"/>
        <v>0</v>
      </c>
      <c r="L12" s="4">
        <f t="shared" si="7"/>
        <v>0</v>
      </c>
      <c r="M12" s="4">
        <f t="shared" si="8"/>
        <v>0</v>
      </c>
      <c r="N12" s="12" t="str">
        <f t="shared" si="9"/>
        <v>DO NOT SELL</v>
      </c>
    </row>
    <row r="13" spans="1:24" ht="18" customHeight="1" x14ac:dyDescent="0.2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50</v>
      </c>
      <c r="G13" s="2">
        <f t="shared" ref="G13" si="10">E13*F13</f>
        <v>500</v>
      </c>
      <c r="H13" s="3"/>
      <c r="I13" s="3">
        <v>50</v>
      </c>
      <c r="J13" s="14">
        <f t="shared" ref="J13" si="11">H13+I13</f>
        <v>50</v>
      </c>
      <c r="K13" s="3">
        <f t="shared" ref="K13" si="12">F13-J13</f>
        <v>0</v>
      </c>
      <c r="L13" s="4">
        <f t="shared" ref="L13" si="13">J13*E13</f>
        <v>500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0</v>
      </c>
      <c r="G14" s="2">
        <f t="shared" si="4"/>
        <v>0</v>
      </c>
      <c r="H14" s="3"/>
      <c r="I14" s="3"/>
      <c r="J14" s="14">
        <f t="shared" si="5"/>
        <v>0</v>
      </c>
      <c r="K14" s="3">
        <f t="shared" si="6"/>
        <v>0</v>
      </c>
      <c r="L14" s="4">
        <f t="shared" si="7"/>
        <v>0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0</v>
      </c>
      <c r="G15" s="2">
        <f t="shared" si="4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7"/>
        <v>0</v>
      </c>
      <c r="M15" s="4">
        <f t="shared" si="8"/>
        <v>0</v>
      </c>
      <c r="N15" s="12" t="str">
        <f t="shared" si="9"/>
        <v>DO NOT SELL</v>
      </c>
    </row>
    <row r="16" spans="1:24" ht="18" customHeight="1" x14ac:dyDescent="0.2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2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0</v>
      </c>
      <c r="G17" s="2">
        <f t="shared" si="16"/>
        <v>0</v>
      </c>
      <c r="H17" s="3"/>
      <c r="I17" s="17"/>
      <c r="J17" s="14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0</v>
      </c>
      <c r="G18" s="2">
        <f t="shared" si="16"/>
        <v>0</v>
      </c>
      <c r="H18" s="3"/>
      <c r="I18" s="3"/>
      <c r="J18" s="14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0</v>
      </c>
      <c r="G19" s="2">
        <f t="shared" si="16"/>
        <v>0</v>
      </c>
      <c r="H19" s="3"/>
      <c r="I19" s="3"/>
      <c r="J19" s="14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0</v>
      </c>
      <c r="G21" s="2">
        <f t="shared" si="16"/>
        <v>0</v>
      </c>
      <c r="H21" s="3"/>
      <c r="I21" s="3"/>
      <c r="J21" s="14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0</v>
      </c>
      <c r="G23" s="2">
        <f t="shared" si="16"/>
        <v>0</v>
      </c>
      <c r="H23" s="3"/>
      <c r="I23" s="3"/>
      <c r="J23" s="14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0</v>
      </c>
      <c r="G25" s="2">
        <f t="shared" si="16"/>
        <v>0</v>
      </c>
      <c r="H25" s="3"/>
      <c r="I25" s="3"/>
      <c r="J25" s="14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3988</v>
      </c>
      <c r="G29" s="2">
        <f t="shared" si="16"/>
        <v>19940</v>
      </c>
      <c r="H29" s="3">
        <v>2640</v>
      </c>
      <c r="I29" s="3">
        <v>1348</v>
      </c>
      <c r="J29" s="14">
        <f t="shared" si="17"/>
        <v>3988</v>
      </c>
      <c r="K29" s="3">
        <f t="shared" si="18"/>
        <v>0</v>
      </c>
      <c r="L29" s="4">
        <f t="shared" si="19"/>
        <v>19940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700</v>
      </c>
      <c r="G30" s="2">
        <f t="shared" si="16"/>
        <v>3500</v>
      </c>
      <c r="H30" s="3">
        <v>300</v>
      </c>
      <c r="I30" s="3">
        <v>400</v>
      </c>
      <c r="J30" s="14">
        <f t="shared" si="17"/>
        <v>700</v>
      </c>
      <c r="K30" s="3">
        <f t="shared" si="18"/>
        <v>0</v>
      </c>
      <c r="L30" s="4">
        <f t="shared" si="19"/>
        <v>3500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100</v>
      </c>
      <c r="G31" s="2">
        <f t="shared" si="16"/>
        <v>500</v>
      </c>
      <c r="H31" s="3"/>
      <c r="I31" s="3">
        <v>100</v>
      </c>
      <c r="J31" s="14">
        <f t="shared" si="17"/>
        <v>100</v>
      </c>
      <c r="K31" s="3">
        <f t="shared" si="18"/>
        <v>0</v>
      </c>
      <c r="L31" s="4">
        <f t="shared" si="19"/>
        <v>500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1920</v>
      </c>
      <c r="G32" s="2">
        <f t="shared" si="16"/>
        <v>48000</v>
      </c>
      <c r="H32" s="3">
        <v>1901</v>
      </c>
      <c r="I32" s="3">
        <v>29</v>
      </c>
      <c r="J32" s="14">
        <f t="shared" si="17"/>
        <v>1930</v>
      </c>
      <c r="K32" s="3">
        <f t="shared" si="18"/>
        <v>-10</v>
      </c>
      <c r="L32" s="4">
        <f t="shared" si="19"/>
        <v>48250</v>
      </c>
      <c r="M32" s="4">
        <f t="shared" si="20"/>
        <v>-250</v>
      </c>
      <c r="N32" s="12" t="str">
        <f t="shared" si="21"/>
        <v>DO NOT SELL</v>
      </c>
    </row>
    <row r="33" spans="1:14" ht="18" customHeight="1" x14ac:dyDescent="0.2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95</v>
      </c>
      <c r="G33" s="2">
        <f t="shared" si="16"/>
        <v>5130</v>
      </c>
      <c r="H33" s="3">
        <v>62</v>
      </c>
      <c r="I33" s="3">
        <v>95</v>
      </c>
      <c r="J33" s="14">
        <f>H33+I33</f>
        <v>157</v>
      </c>
      <c r="K33" s="3">
        <f t="shared" si="18"/>
        <v>-62</v>
      </c>
      <c r="L33" s="4">
        <f t="shared" si="19"/>
        <v>8478</v>
      </c>
      <c r="M33" s="4">
        <f t="shared" si="20"/>
        <v>-3348</v>
      </c>
      <c r="N33" s="12" t="str">
        <f t="shared" si="21"/>
        <v>DO NOT SELL</v>
      </c>
    </row>
    <row r="34" spans="1:14" ht="18" customHeight="1" x14ac:dyDescent="0.2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28</v>
      </c>
      <c r="G34" s="2">
        <f t="shared" ref="G34:G63" si="22">E34*F34</f>
        <v>2436</v>
      </c>
      <c r="H34" s="3"/>
      <c r="I34" s="3">
        <v>28</v>
      </c>
      <c r="J34" s="14">
        <f>H34+I34</f>
        <v>28</v>
      </c>
      <c r="K34" s="3">
        <f t="shared" ref="K34:K63" si="23">F34-J34</f>
        <v>0</v>
      </c>
      <c r="L34" s="4">
        <f t="shared" ref="L34:L63" si="24">J34*E34</f>
        <v>2436</v>
      </c>
      <c r="M34" s="4">
        <f t="shared" ref="M34:M63" si="25">G34-L34</f>
        <v>0</v>
      </c>
      <c r="N34" s="12" t="str">
        <f t="shared" ref="N34:N63" si="26">IF(M34&gt;0,"KEEP SELLING", "DO NOT SELL")</f>
        <v>DO NOT SELL</v>
      </c>
    </row>
    <row r="35" spans="1:14" ht="18" customHeight="1" x14ac:dyDescent="0.2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4540</v>
      </c>
      <c r="G35" s="2">
        <f t="shared" si="22"/>
        <v>22700</v>
      </c>
      <c r="H35" s="3">
        <v>440</v>
      </c>
      <c r="I35" s="3">
        <v>3535</v>
      </c>
      <c r="J35" s="14">
        <f t="shared" ref="J35:J63" si="27">H35+I35</f>
        <v>3975</v>
      </c>
      <c r="K35" s="3">
        <f t="shared" si="23"/>
        <v>565</v>
      </c>
      <c r="L35" s="4">
        <f t="shared" si="24"/>
        <v>19875</v>
      </c>
      <c r="M35" s="4">
        <f t="shared" si="25"/>
        <v>2825</v>
      </c>
      <c r="N35" s="12" t="str">
        <f t="shared" si="26"/>
        <v>KEEP SELLING</v>
      </c>
    </row>
    <row r="36" spans="1:14" ht="18" customHeight="1" x14ac:dyDescent="0.2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0</v>
      </c>
      <c r="G36" s="2">
        <f t="shared" si="22"/>
        <v>0</v>
      </c>
      <c r="H36" s="3"/>
      <c r="I36" s="3"/>
      <c r="J36" s="14">
        <f t="shared" si="27"/>
        <v>0</v>
      </c>
      <c r="K36" s="3">
        <f t="shared" si="23"/>
        <v>0</v>
      </c>
      <c r="L36" s="4">
        <f t="shared" si="24"/>
        <v>0</v>
      </c>
      <c r="M36" s="4">
        <f t="shared" si="25"/>
        <v>0</v>
      </c>
      <c r="N36" s="12" t="str">
        <f t="shared" si="26"/>
        <v>DO NOT SELL</v>
      </c>
    </row>
    <row r="37" spans="1:14" ht="18" customHeight="1" x14ac:dyDescent="0.2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1599</v>
      </c>
      <c r="G37" s="2">
        <f t="shared" si="22"/>
        <v>3198</v>
      </c>
      <c r="H37" s="3">
        <v>390</v>
      </c>
      <c r="I37" s="3">
        <v>1209</v>
      </c>
      <c r="J37" s="14">
        <f t="shared" si="27"/>
        <v>1599</v>
      </c>
      <c r="K37" s="3">
        <f t="shared" si="23"/>
        <v>0</v>
      </c>
      <c r="L37" s="4">
        <f t="shared" si="24"/>
        <v>3198</v>
      </c>
      <c r="M37" s="4">
        <f t="shared" si="25"/>
        <v>0</v>
      </c>
      <c r="N37" s="12" t="str">
        <f t="shared" si="26"/>
        <v>DO NOT SELL</v>
      </c>
    </row>
    <row r="38" spans="1:14" ht="18" customHeight="1" x14ac:dyDescent="0.2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240</v>
      </c>
      <c r="G38" s="2">
        <f t="shared" si="22"/>
        <v>1200</v>
      </c>
      <c r="H38" s="3">
        <v>40</v>
      </c>
      <c r="I38" s="3"/>
      <c r="J38" s="14">
        <f t="shared" si="27"/>
        <v>40</v>
      </c>
      <c r="K38" s="3">
        <f t="shared" si="23"/>
        <v>200</v>
      </c>
      <c r="L38" s="4">
        <f t="shared" si="24"/>
        <v>200</v>
      </c>
      <c r="M38" s="4">
        <f t="shared" si="25"/>
        <v>1000</v>
      </c>
      <c r="N38" s="12" t="str">
        <f t="shared" si="26"/>
        <v>KEEP SELLING</v>
      </c>
    </row>
    <row r="39" spans="1:14" ht="18" customHeight="1" x14ac:dyDescent="0.2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550</v>
      </c>
      <c r="G39" s="2">
        <f t="shared" si="22"/>
        <v>2750</v>
      </c>
      <c r="H39" s="3"/>
      <c r="I39" s="3">
        <v>590</v>
      </c>
      <c r="J39" s="14">
        <f t="shared" si="27"/>
        <v>590</v>
      </c>
      <c r="K39" s="3">
        <f t="shared" si="23"/>
        <v>-40</v>
      </c>
      <c r="L39" s="4">
        <f t="shared" si="24"/>
        <v>2950</v>
      </c>
      <c r="M39" s="4">
        <f t="shared" si="25"/>
        <v>-200</v>
      </c>
      <c r="N39" s="12" t="str">
        <f t="shared" si="26"/>
        <v>DO NOT SELL</v>
      </c>
    </row>
    <row r="40" spans="1:14" ht="18" customHeight="1" x14ac:dyDescent="0.2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0</v>
      </c>
      <c r="G40" s="2">
        <f t="shared" si="22"/>
        <v>0</v>
      </c>
      <c r="H40" s="3"/>
      <c r="I40" s="3"/>
      <c r="J40" s="14">
        <f t="shared" si="27"/>
        <v>0</v>
      </c>
      <c r="K40" s="3">
        <f t="shared" si="23"/>
        <v>0</v>
      </c>
      <c r="L40" s="4">
        <f t="shared" si="24"/>
        <v>0</v>
      </c>
      <c r="M40" s="4">
        <f t="shared" si="25"/>
        <v>0</v>
      </c>
      <c r="N40" s="12" t="str">
        <f t="shared" si="26"/>
        <v>DO NOT SELL</v>
      </c>
    </row>
    <row r="41" spans="1:14" ht="18" customHeight="1" x14ac:dyDescent="0.2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1000</v>
      </c>
      <c r="G41" s="2">
        <f t="shared" si="22"/>
        <v>5000</v>
      </c>
      <c r="H41" s="3"/>
      <c r="I41" s="3">
        <v>921</v>
      </c>
      <c r="J41" s="14">
        <f t="shared" si="27"/>
        <v>921</v>
      </c>
      <c r="K41" s="3">
        <f t="shared" si="23"/>
        <v>79</v>
      </c>
      <c r="L41" s="4">
        <f t="shared" si="24"/>
        <v>4605</v>
      </c>
      <c r="M41" s="4">
        <f t="shared" si="25"/>
        <v>395</v>
      </c>
      <c r="N41" s="12" t="str">
        <f t="shared" si="26"/>
        <v>KEEP SELLING</v>
      </c>
    </row>
    <row r="42" spans="1:14" ht="18" customHeight="1" x14ac:dyDescent="0.2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40</v>
      </c>
      <c r="G42" s="2">
        <f t="shared" si="22"/>
        <v>1200</v>
      </c>
      <c r="H42" s="3"/>
      <c r="I42" s="3"/>
      <c r="J42" s="14">
        <f t="shared" si="27"/>
        <v>0</v>
      </c>
      <c r="K42" s="3">
        <f t="shared" si="23"/>
        <v>40</v>
      </c>
      <c r="L42" s="4">
        <f t="shared" si="24"/>
        <v>0</v>
      </c>
      <c r="M42" s="4">
        <f t="shared" si="25"/>
        <v>1200</v>
      </c>
      <c r="N42" s="12" t="str">
        <f t="shared" si="26"/>
        <v>KEEP SELLING</v>
      </c>
    </row>
    <row r="43" spans="1:14" ht="18" customHeight="1" x14ac:dyDescent="0.2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0</v>
      </c>
      <c r="G43" s="2">
        <f t="shared" si="22"/>
        <v>0</v>
      </c>
      <c r="H43" s="3"/>
      <c r="I43" s="3"/>
      <c r="J43" s="14">
        <f t="shared" si="27"/>
        <v>0</v>
      </c>
      <c r="K43" s="3">
        <f t="shared" si="23"/>
        <v>0</v>
      </c>
      <c r="L43" s="4">
        <f t="shared" si="24"/>
        <v>0</v>
      </c>
      <c r="M43" s="4">
        <f t="shared" si="25"/>
        <v>0</v>
      </c>
      <c r="N43" s="12" t="str">
        <f t="shared" si="26"/>
        <v>DO NOT SELL</v>
      </c>
    </row>
    <row r="44" spans="1:14" ht="18" customHeight="1" x14ac:dyDescent="0.2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100</v>
      </c>
      <c r="G44" s="2">
        <f t="shared" si="22"/>
        <v>3000</v>
      </c>
      <c r="H44" s="3"/>
      <c r="I44" s="3">
        <v>18</v>
      </c>
      <c r="J44" s="14">
        <f t="shared" si="27"/>
        <v>18</v>
      </c>
      <c r="K44" s="3">
        <f t="shared" si="23"/>
        <v>82</v>
      </c>
      <c r="L44" s="4">
        <f t="shared" si="24"/>
        <v>540</v>
      </c>
      <c r="M44" s="4">
        <f t="shared" si="25"/>
        <v>2460</v>
      </c>
      <c r="N44" s="12" t="str">
        <f t="shared" si="26"/>
        <v>KEEP SELLING</v>
      </c>
    </row>
    <row r="45" spans="1:14" ht="18" customHeight="1" x14ac:dyDescent="0.2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100</v>
      </c>
      <c r="G45" s="2">
        <f t="shared" si="22"/>
        <v>8000</v>
      </c>
      <c r="H45" s="3"/>
      <c r="I45" s="3">
        <v>18</v>
      </c>
      <c r="J45" s="14">
        <f t="shared" si="27"/>
        <v>18</v>
      </c>
      <c r="K45" s="3">
        <f t="shared" si="23"/>
        <v>82</v>
      </c>
      <c r="L45" s="4">
        <f t="shared" si="24"/>
        <v>1440</v>
      </c>
      <c r="M45" s="4">
        <f t="shared" si="25"/>
        <v>6560</v>
      </c>
      <c r="N45" s="12" t="str">
        <f t="shared" si="26"/>
        <v>KEEP SELLING</v>
      </c>
    </row>
    <row r="46" spans="1:14" ht="18" customHeight="1" x14ac:dyDescent="0.2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19</v>
      </c>
      <c r="G46" s="2">
        <f t="shared" si="22"/>
        <v>950</v>
      </c>
      <c r="H46" s="3">
        <v>19</v>
      </c>
      <c r="I46" s="3"/>
      <c r="J46" s="14">
        <f t="shared" si="27"/>
        <v>19</v>
      </c>
      <c r="K46" s="3">
        <f t="shared" si="23"/>
        <v>0</v>
      </c>
      <c r="L46" s="4">
        <f t="shared" si="24"/>
        <v>950</v>
      </c>
      <c r="M46" s="4">
        <f t="shared" si="25"/>
        <v>0</v>
      </c>
      <c r="N46" s="12" t="str">
        <f t="shared" si="26"/>
        <v>DO NOT SELL</v>
      </c>
    </row>
    <row r="47" spans="1:14" ht="18" customHeight="1" x14ac:dyDescent="0.2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100</v>
      </c>
      <c r="G47" s="2">
        <f t="shared" si="22"/>
        <v>8000</v>
      </c>
      <c r="H47" s="3">
        <v>15</v>
      </c>
      <c r="I47" s="3">
        <v>88</v>
      </c>
      <c r="J47" s="14">
        <f t="shared" si="27"/>
        <v>103</v>
      </c>
      <c r="K47" s="3">
        <f t="shared" si="23"/>
        <v>-3</v>
      </c>
      <c r="L47" s="4">
        <f t="shared" si="24"/>
        <v>8240</v>
      </c>
      <c r="M47" s="4">
        <f t="shared" si="25"/>
        <v>-240</v>
      </c>
      <c r="N47" s="12" t="str">
        <f t="shared" si="26"/>
        <v>DO NOT SELL</v>
      </c>
    </row>
    <row r="48" spans="1:14" ht="18" customHeight="1" x14ac:dyDescent="0.2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37</v>
      </c>
      <c r="G48" s="2">
        <f t="shared" si="22"/>
        <v>4440</v>
      </c>
      <c r="H48" s="3">
        <v>32</v>
      </c>
      <c r="I48" s="3"/>
      <c r="J48" s="14">
        <f t="shared" si="27"/>
        <v>32</v>
      </c>
      <c r="K48" s="3">
        <f t="shared" si="23"/>
        <v>5</v>
      </c>
      <c r="L48" s="4">
        <f t="shared" si="24"/>
        <v>3840</v>
      </c>
      <c r="M48" s="4">
        <f t="shared" si="25"/>
        <v>600</v>
      </c>
      <c r="N48" s="12" t="str">
        <f t="shared" si="26"/>
        <v>KEEP SELLING</v>
      </c>
    </row>
    <row r="49" spans="1:14" ht="18" customHeight="1" x14ac:dyDescent="0.2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53</v>
      </c>
      <c r="G49" s="2">
        <f t="shared" si="22"/>
        <v>2650</v>
      </c>
      <c r="H49" s="3">
        <v>53</v>
      </c>
      <c r="I49" s="3"/>
      <c r="J49" s="14">
        <f t="shared" si="27"/>
        <v>53</v>
      </c>
      <c r="K49" s="3">
        <f t="shared" si="23"/>
        <v>0</v>
      </c>
      <c r="L49" s="4">
        <f t="shared" si="24"/>
        <v>2650</v>
      </c>
      <c r="M49" s="4">
        <f t="shared" si="25"/>
        <v>0</v>
      </c>
      <c r="N49" s="12" t="str">
        <f t="shared" si="26"/>
        <v>DO NOT SELL</v>
      </c>
    </row>
    <row r="50" spans="1:14" ht="18" customHeight="1" x14ac:dyDescent="0.2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240</v>
      </c>
      <c r="G50" s="2">
        <f t="shared" si="22"/>
        <v>19200</v>
      </c>
      <c r="H50" s="3">
        <v>20</v>
      </c>
      <c r="I50" s="3">
        <v>174</v>
      </c>
      <c r="J50" s="14">
        <f t="shared" si="27"/>
        <v>194</v>
      </c>
      <c r="K50" s="3">
        <f t="shared" si="23"/>
        <v>46</v>
      </c>
      <c r="L50" s="4">
        <f t="shared" si="24"/>
        <v>15520</v>
      </c>
      <c r="M50" s="4">
        <f t="shared" si="25"/>
        <v>3680</v>
      </c>
      <c r="N50" s="12" t="str">
        <f t="shared" si="26"/>
        <v>KEEP SELLING</v>
      </c>
    </row>
    <row r="51" spans="1:14" ht="18" customHeight="1" x14ac:dyDescent="0.2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26</v>
      </c>
      <c r="G51" s="2">
        <f t="shared" si="22"/>
        <v>3120</v>
      </c>
      <c r="H51" s="3">
        <v>21</v>
      </c>
      <c r="I51" s="3"/>
      <c r="J51" s="14">
        <f t="shared" si="27"/>
        <v>21</v>
      </c>
      <c r="K51" s="3">
        <f t="shared" si="23"/>
        <v>5</v>
      </c>
      <c r="L51" s="4">
        <f t="shared" si="24"/>
        <v>2520</v>
      </c>
      <c r="M51" s="4">
        <f t="shared" si="25"/>
        <v>600</v>
      </c>
      <c r="N51" s="12" t="str">
        <f t="shared" si="26"/>
        <v>KEEP SELLING</v>
      </c>
    </row>
    <row r="52" spans="1:14" ht="18" customHeight="1" x14ac:dyDescent="0.2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0</v>
      </c>
      <c r="G52" s="2">
        <f t="shared" si="22"/>
        <v>0</v>
      </c>
      <c r="H52" s="3"/>
      <c r="I52" s="3"/>
      <c r="J52" s="14">
        <f t="shared" si="27"/>
        <v>0</v>
      </c>
      <c r="K52" s="3">
        <f t="shared" si="23"/>
        <v>0</v>
      </c>
      <c r="L52" s="4">
        <f t="shared" si="24"/>
        <v>0</v>
      </c>
      <c r="M52" s="4">
        <f t="shared" si="25"/>
        <v>0</v>
      </c>
      <c r="N52" s="12" t="str">
        <f t="shared" si="26"/>
        <v>DO NOT SELL</v>
      </c>
    </row>
    <row r="53" spans="1:14" ht="18" customHeight="1" x14ac:dyDescent="0.2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0</v>
      </c>
      <c r="G53" s="2">
        <f t="shared" si="22"/>
        <v>0</v>
      </c>
      <c r="H53" s="3"/>
      <c r="I53" s="3"/>
      <c r="J53" s="14">
        <f t="shared" si="27"/>
        <v>0</v>
      </c>
      <c r="K53" s="3">
        <f t="shared" si="23"/>
        <v>0</v>
      </c>
      <c r="L53" s="4">
        <f t="shared" si="24"/>
        <v>0</v>
      </c>
      <c r="M53" s="4">
        <f t="shared" si="25"/>
        <v>0</v>
      </c>
      <c r="N53" s="12" t="str">
        <f t="shared" si="26"/>
        <v>DO NOT SELL</v>
      </c>
    </row>
    <row r="54" spans="1:14" ht="18" customHeight="1" x14ac:dyDescent="0.2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37</v>
      </c>
      <c r="G54" s="2">
        <f t="shared" si="22"/>
        <v>4440</v>
      </c>
      <c r="H54" s="3">
        <v>32</v>
      </c>
      <c r="I54" s="3"/>
      <c r="J54" s="14">
        <f t="shared" si="27"/>
        <v>32</v>
      </c>
      <c r="K54" s="3">
        <f t="shared" si="23"/>
        <v>5</v>
      </c>
      <c r="L54" s="4">
        <f t="shared" si="24"/>
        <v>3840</v>
      </c>
      <c r="M54" s="4">
        <f t="shared" si="25"/>
        <v>600</v>
      </c>
      <c r="N54" s="12" t="str">
        <f t="shared" si="26"/>
        <v>KEEP SELLING</v>
      </c>
    </row>
    <row r="55" spans="1:14" ht="18" customHeight="1" x14ac:dyDescent="0.2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0</v>
      </c>
      <c r="G55" s="2">
        <f t="shared" si="22"/>
        <v>0</v>
      </c>
      <c r="H55" s="3"/>
      <c r="I55" s="3"/>
      <c r="J55" s="14">
        <f t="shared" si="27"/>
        <v>0</v>
      </c>
      <c r="K55" s="3">
        <f t="shared" si="23"/>
        <v>0</v>
      </c>
      <c r="L55" s="4">
        <f t="shared" si="24"/>
        <v>0</v>
      </c>
      <c r="M55" s="4">
        <f t="shared" si="25"/>
        <v>0</v>
      </c>
      <c r="N55" s="12" t="str">
        <f t="shared" si="26"/>
        <v>DO NOT SELL</v>
      </c>
    </row>
    <row r="56" spans="1:14" ht="18" customHeight="1" x14ac:dyDescent="0.2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0</v>
      </c>
      <c r="G56" s="2">
        <f t="shared" si="22"/>
        <v>0</v>
      </c>
      <c r="H56" s="3"/>
      <c r="I56" s="3"/>
      <c r="J56" s="14">
        <f t="shared" si="27"/>
        <v>0</v>
      </c>
      <c r="K56" s="3">
        <f t="shared" si="23"/>
        <v>0</v>
      </c>
      <c r="L56" s="4">
        <f t="shared" si="24"/>
        <v>0</v>
      </c>
      <c r="M56" s="4">
        <f t="shared" si="25"/>
        <v>0</v>
      </c>
      <c r="N56" s="12" t="str">
        <f t="shared" si="26"/>
        <v>DO NOT SELL</v>
      </c>
    </row>
    <row r="57" spans="1:14" ht="18" customHeight="1" x14ac:dyDescent="0.2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36</v>
      </c>
      <c r="G57" s="2">
        <f t="shared" si="22"/>
        <v>4320</v>
      </c>
      <c r="H57" s="3">
        <v>31</v>
      </c>
      <c r="I57" s="3"/>
      <c r="J57" s="14">
        <f t="shared" si="27"/>
        <v>31</v>
      </c>
      <c r="K57" s="3">
        <f t="shared" si="23"/>
        <v>5</v>
      </c>
      <c r="L57" s="4">
        <f t="shared" si="24"/>
        <v>3720</v>
      </c>
      <c r="M57" s="4">
        <f t="shared" si="25"/>
        <v>600</v>
      </c>
      <c r="N57" s="12" t="str">
        <f t="shared" si="26"/>
        <v>KEEP SELLING</v>
      </c>
    </row>
    <row r="58" spans="1:14" ht="18" customHeight="1" x14ac:dyDescent="0.2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100</v>
      </c>
      <c r="G58" s="2">
        <f t="shared" si="22"/>
        <v>5000</v>
      </c>
      <c r="H58" s="3">
        <v>6</v>
      </c>
      <c r="I58" s="3">
        <v>86</v>
      </c>
      <c r="J58" s="14">
        <f t="shared" si="27"/>
        <v>92</v>
      </c>
      <c r="K58" s="3">
        <f t="shared" si="23"/>
        <v>8</v>
      </c>
      <c r="L58" s="4">
        <f t="shared" si="24"/>
        <v>4600</v>
      </c>
      <c r="M58" s="4">
        <f t="shared" si="25"/>
        <v>400</v>
      </c>
      <c r="N58" s="12" t="str">
        <f t="shared" si="26"/>
        <v>KEEP SELLING</v>
      </c>
    </row>
    <row r="59" spans="1:14" ht="18" customHeight="1" x14ac:dyDescent="0.2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2</v>
      </c>
      <c r="G59" s="2">
        <f t="shared" si="22"/>
        <v>160</v>
      </c>
      <c r="H59" s="3">
        <v>2</v>
      </c>
      <c r="I59" s="3"/>
      <c r="J59" s="14">
        <f t="shared" si="27"/>
        <v>2</v>
      </c>
      <c r="K59" s="3">
        <f t="shared" si="23"/>
        <v>0</v>
      </c>
      <c r="L59" s="4">
        <f t="shared" si="24"/>
        <v>160</v>
      </c>
      <c r="M59" s="4">
        <f t="shared" si="25"/>
        <v>0</v>
      </c>
      <c r="N59" s="12" t="str">
        <f t="shared" si="26"/>
        <v>DO NOT SELL</v>
      </c>
    </row>
    <row r="60" spans="1:14" ht="18" customHeight="1" x14ac:dyDescent="0.2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100</v>
      </c>
      <c r="G60" s="2">
        <f t="shared" si="22"/>
        <v>5000</v>
      </c>
      <c r="H60" s="3">
        <v>8</v>
      </c>
      <c r="I60" s="3">
        <v>97</v>
      </c>
      <c r="J60" s="14">
        <f t="shared" si="27"/>
        <v>105</v>
      </c>
      <c r="K60" s="3">
        <f t="shared" si="23"/>
        <v>-5</v>
      </c>
      <c r="L60" s="4">
        <f t="shared" si="24"/>
        <v>5250</v>
      </c>
      <c r="M60" s="4">
        <f t="shared" si="25"/>
        <v>-250</v>
      </c>
      <c r="N60" s="12" t="str">
        <f t="shared" si="26"/>
        <v>DO NOT SELL</v>
      </c>
    </row>
    <row r="61" spans="1:14" ht="18" customHeight="1" x14ac:dyDescent="0.2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7"/>
        <v>0</v>
      </c>
      <c r="K61" s="3">
        <f t="shared" si="23"/>
        <v>0</v>
      </c>
      <c r="L61" s="4">
        <f t="shared" si="24"/>
        <v>0</v>
      </c>
      <c r="M61" s="4">
        <f t="shared" si="25"/>
        <v>0</v>
      </c>
      <c r="N61" s="12" t="str">
        <f t="shared" si="26"/>
        <v>DO NOT SELL</v>
      </c>
    </row>
    <row r="62" spans="1:14" ht="18" customHeight="1" x14ac:dyDescent="0.2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100</v>
      </c>
      <c r="G62" s="2">
        <f t="shared" si="22"/>
        <v>5000</v>
      </c>
      <c r="H62" s="3">
        <v>5</v>
      </c>
      <c r="I62" s="3">
        <v>89</v>
      </c>
      <c r="J62" s="14">
        <f t="shared" si="27"/>
        <v>94</v>
      </c>
      <c r="K62" s="3">
        <f t="shared" si="23"/>
        <v>6</v>
      </c>
      <c r="L62" s="4">
        <f t="shared" si="24"/>
        <v>4700</v>
      </c>
      <c r="M62" s="4">
        <f t="shared" si="25"/>
        <v>300</v>
      </c>
      <c r="N62" s="12" t="str">
        <f t="shared" si="26"/>
        <v>KEEP SELLING</v>
      </c>
    </row>
    <row r="63" spans="1:14" ht="18" customHeight="1" x14ac:dyDescent="0.2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12</v>
      </c>
      <c r="G63" s="2">
        <f t="shared" si="22"/>
        <v>960</v>
      </c>
      <c r="H63" s="3"/>
      <c r="I63" s="3">
        <v>30</v>
      </c>
      <c r="J63" s="14">
        <f t="shared" si="27"/>
        <v>30</v>
      </c>
      <c r="K63" s="3">
        <f t="shared" si="23"/>
        <v>-18</v>
      </c>
      <c r="L63" s="4">
        <f t="shared" si="24"/>
        <v>2400</v>
      </c>
      <c r="M63" s="4">
        <f t="shared" si="25"/>
        <v>-1440</v>
      </c>
      <c r="N63" s="12" t="str">
        <f t="shared" si="26"/>
        <v>DO NOT SELL</v>
      </c>
    </row>
    <row r="64" spans="1:14" ht="18" customHeight="1" x14ac:dyDescent="0.2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99</v>
      </c>
      <c r="G64" s="2">
        <f t="shared" ref="G64:G72" si="28">E64*F64</f>
        <v>4950</v>
      </c>
      <c r="H64" s="3"/>
      <c r="I64" s="3">
        <v>69</v>
      </c>
      <c r="J64" s="14">
        <f t="shared" ref="J64:J72" si="29">H64+I64</f>
        <v>69</v>
      </c>
      <c r="K64" s="3">
        <f t="shared" ref="K64:K72" si="30">F64-J64</f>
        <v>30</v>
      </c>
      <c r="L64" s="4">
        <f t="shared" ref="L64:L72" si="31">J64*E64</f>
        <v>3450</v>
      </c>
      <c r="M64" s="4">
        <f t="shared" ref="M64:M72" si="32">G64-L64</f>
        <v>1500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11</v>
      </c>
      <c r="G65" s="2">
        <f t="shared" si="28"/>
        <v>880</v>
      </c>
      <c r="H65" s="3">
        <v>1</v>
      </c>
      <c r="I65" s="3">
        <v>15</v>
      </c>
      <c r="J65" s="14">
        <f t="shared" si="29"/>
        <v>16</v>
      </c>
      <c r="K65" s="3">
        <f t="shared" si="30"/>
        <v>-5</v>
      </c>
      <c r="L65" s="4">
        <f t="shared" si="31"/>
        <v>1280</v>
      </c>
      <c r="M65" s="4">
        <f t="shared" si="32"/>
        <v>-400</v>
      </c>
      <c r="N65" s="12" t="str">
        <f t="shared" si="33"/>
        <v>DO NOT SELL</v>
      </c>
    </row>
    <row r="66" spans="1:14" ht="18" customHeight="1" x14ac:dyDescent="0.2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11</v>
      </c>
      <c r="G67" s="2">
        <f t="shared" si="28"/>
        <v>880</v>
      </c>
      <c r="H67" s="3">
        <v>1</v>
      </c>
      <c r="I67" s="3"/>
      <c r="J67" s="14">
        <f t="shared" si="29"/>
        <v>1</v>
      </c>
      <c r="K67" s="3">
        <f t="shared" si="30"/>
        <v>10</v>
      </c>
      <c r="L67" s="4">
        <f t="shared" si="31"/>
        <v>80</v>
      </c>
      <c r="M67" s="4">
        <f t="shared" si="32"/>
        <v>800</v>
      </c>
      <c r="N67" s="12" t="str">
        <f t="shared" si="33"/>
        <v>KEEP SELLING</v>
      </c>
    </row>
    <row r="68" spans="1:14" ht="18" customHeight="1" x14ac:dyDescent="0.2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14</v>
      </c>
      <c r="G69" s="2">
        <f t="shared" si="28"/>
        <v>1120</v>
      </c>
      <c r="H69" s="3">
        <v>4</v>
      </c>
      <c r="I69" s="3"/>
      <c r="J69" s="14">
        <f t="shared" si="29"/>
        <v>4</v>
      </c>
      <c r="K69" s="3">
        <f t="shared" si="30"/>
        <v>10</v>
      </c>
      <c r="L69" s="4">
        <f t="shared" si="31"/>
        <v>320</v>
      </c>
      <c r="M69" s="4">
        <f t="shared" si="32"/>
        <v>800</v>
      </c>
      <c r="N69" s="12" t="str">
        <f t="shared" si="33"/>
        <v>KEEP SELLING</v>
      </c>
    </row>
    <row r="70" spans="1:14" ht="18" customHeight="1" x14ac:dyDescent="0.2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0</v>
      </c>
      <c r="G70" s="2">
        <f t="shared" si="28"/>
        <v>0</v>
      </c>
      <c r="H70" s="3"/>
      <c r="I70" s="3"/>
      <c r="J70" s="14">
        <f t="shared" si="29"/>
        <v>0</v>
      </c>
      <c r="K70" s="3">
        <f t="shared" si="30"/>
        <v>0</v>
      </c>
      <c r="L70" s="4">
        <f t="shared" si="31"/>
        <v>0</v>
      </c>
      <c r="M70" s="4">
        <f t="shared" si="32"/>
        <v>0</v>
      </c>
      <c r="N70" s="12" t="str">
        <f t="shared" si="33"/>
        <v>DO NOT SELL</v>
      </c>
    </row>
    <row r="71" spans="1:14" ht="18" customHeight="1" x14ac:dyDescent="0.2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10</v>
      </c>
      <c r="G71" s="2">
        <f t="shared" si="28"/>
        <v>500</v>
      </c>
      <c r="H71" s="3">
        <v>7</v>
      </c>
      <c r="I71" s="3">
        <v>6</v>
      </c>
      <c r="J71" s="14">
        <f t="shared" si="29"/>
        <v>13</v>
      </c>
      <c r="K71" s="3">
        <f t="shared" si="30"/>
        <v>-3</v>
      </c>
      <c r="L71" s="4">
        <f t="shared" si="31"/>
        <v>650</v>
      </c>
      <c r="M71" s="4">
        <f t="shared" si="32"/>
        <v>-150</v>
      </c>
      <c r="N71" s="12" t="str">
        <f t="shared" si="33"/>
        <v>DO NOT SELL</v>
      </c>
    </row>
    <row r="72" spans="1:14" ht="18" customHeight="1" x14ac:dyDescent="0.2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12</v>
      </c>
      <c r="G72" s="2">
        <f t="shared" si="28"/>
        <v>960</v>
      </c>
      <c r="H72" s="3">
        <v>2</v>
      </c>
      <c r="I72" s="3">
        <v>3</v>
      </c>
      <c r="J72" s="14">
        <f t="shared" si="29"/>
        <v>5</v>
      </c>
      <c r="K72" s="3">
        <f t="shared" si="30"/>
        <v>7</v>
      </c>
      <c r="L72" s="4">
        <f t="shared" si="31"/>
        <v>400</v>
      </c>
      <c r="M72" s="4">
        <f t="shared" si="32"/>
        <v>560</v>
      </c>
      <c r="N72" s="12" t="str">
        <f t="shared" si="33"/>
        <v>KEEP SELLING</v>
      </c>
    </row>
    <row r="73" spans="1:14" ht="18" customHeight="1" x14ac:dyDescent="0.2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10</v>
      </c>
      <c r="G73" s="2">
        <f t="shared" ref="G73:G74" si="34">E73*F73</f>
        <v>500</v>
      </c>
      <c r="H73" s="3">
        <v>8</v>
      </c>
      <c r="I73" s="3">
        <v>5</v>
      </c>
      <c r="J73" s="14">
        <f t="shared" ref="J73:J74" si="35">H73+I73</f>
        <v>13</v>
      </c>
      <c r="K73" s="3">
        <f t="shared" ref="K73:K74" si="36">F73-J73</f>
        <v>-3</v>
      </c>
      <c r="L73" s="4">
        <f t="shared" ref="L73:L74" si="37">J73*E73</f>
        <v>650</v>
      </c>
      <c r="M73" s="4">
        <f t="shared" ref="M73:M74" si="38">G73-L73</f>
        <v>-150</v>
      </c>
      <c r="N73" s="12" t="str">
        <f t="shared" ref="N73:N74" si="39">IF(M73&gt;0,"KEEP SELLING", "DO NOT SELL")</f>
        <v>DO NOT SELL</v>
      </c>
    </row>
    <row r="74" spans="1:14" ht="18" customHeight="1" x14ac:dyDescent="0.2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14</v>
      </c>
      <c r="G74" s="2">
        <f t="shared" si="34"/>
        <v>1120</v>
      </c>
      <c r="H74" s="3">
        <v>4</v>
      </c>
      <c r="I74" s="3">
        <v>3</v>
      </c>
      <c r="J74" s="14">
        <f t="shared" si="35"/>
        <v>7</v>
      </c>
      <c r="K74" s="3">
        <f t="shared" si="36"/>
        <v>7</v>
      </c>
      <c r="L74" s="4">
        <f t="shared" si="37"/>
        <v>560</v>
      </c>
      <c r="M74" s="4">
        <f t="shared" si="38"/>
        <v>560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2026-03-19T21:12:48Z</dcterms:modified>
  <cp:category/>
  <cp:contentStatus/>
</cp:coreProperties>
</file>