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ristizabal\Documents\Reports\Surveys\WK09\"/>
    </mc:Choice>
  </mc:AlternateContent>
  <xr:revisionPtr revIDLastSave="0" documentId="13_ncr:1_{D3C9B321-0FAE-49CC-B597-BC2659106CC3}" xr6:coauthVersionLast="47" xr6:coauthVersionMax="47" xr10:uidLastSave="{00000000-0000-0000-0000-000000000000}"/>
  <bookViews>
    <workbookView xWindow="-19320" yWindow="-120" windowWidth="19440" windowHeight="10320" xr2:uid="{00000000-000D-0000-FFFF-FFFF00000000}"/>
  </bookViews>
  <sheets>
    <sheet name="sending to samsung" sheetId="14" r:id="rId1"/>
  </sheets>
  <definedNames>
    <definedName name="_xlnm._FilterDatabase" localSheetId="0" hidden="1">'sending to samsung'!$A$1:$N$5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2" i="14" l="1"/>
  <c r="Q2" i="14"/>
  <c r="P2" i="14"/>
  <c r="J5" i="14"/>
  <c r="K5" i="14" s="1"/>
  <c r="G5" i="14"/>
  <c r="J4" i="14"/>
  <c r="K4" i="14" s="1"/>
  <c r="G4" i="14"/>
  <c r="J3" i="14"/>
  <c r="L3" i="14" s="1"/>
  <c r="G3" i="14"/>
  <c r="M3" i="14" s="1"/>
  <c r="N3" i="14" s="1"/>
  <c r="J2" i="14"/>
  <c r="L2" i="14" s="1"/>
  <c r="G2" i="14"/>
  <c r="M2" i="14" s="1"/>
  <c r="N2" i="14" s="1"/>
  <c r="L5" i="14" l="1"/>
  <c r="M5" i="14" s="1"/>
  <c r="N5" i="14" s="1"/>
  <c r="K2" i="14"/>
  <c r="L4" i="14"/>
  <c r="M4" i="14" s="1"/>
  <c r="N4" i="14" s="1"/>
  <c r="K3" i="14"/>
</calcChain>
</file>

<file path=xl/sharedStrings.xml><?xml version="1.0" encoding="utf-8"?>
<sst xmlns="http://schemas.openxmlformats.org/spreadsheetml/2006/main" count="31" uniqueCount="20">
  <si>
    <t>Condition Document No</t>
  </si>
  <si>
    <t>Condition Text</t>
  </si>
  <si>
    <t>Product</t>
  </si>
  <si>
    <t>Product Text</t>
  </si>
  <si>
    <t>Incentive</t>
  </si>
  <si>
    <t>AS-IS Qty</t>
  </si>
  <si>
    <t>AS-IS Amount</t>
  </si>
  <si>
    <t>Invoiced</t>
  </si>
  <si>
    <t>Shipping</t>
  </si>
  <si>
    <t>Total</t>
  </si>
  <si>
    <t>Difference</t>
  </si>
  <si>
    <t>Amount difference</t>
  </si>
  <si>
    <t>FINAL</t>
  </si>
  <si>
    <t>WATCH8</t>
  </si>
  <si>
    <t>0117</t>
  </si>
  <si>
    <t>A0S3A0A260000117</t>
  </si>
  <si>
    <t>VITEL W8-W9 VE Special Market Sell-Thru Promotion</t>
  </si>
  <si>
    <t>TAB-A11</t>
  </si>
  <si>
    <t>WATCH-ULTRA</t>
  </si>
  <si>
    <t>WATCH8-CLASSIC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</si>
</sst>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44" formatCode="_(&quot;$&quot;* #,##0.00_);_(&quot;$&quot;* \(#,##0.00\);_(&quot;$&quot;* &quot;-&quot;??_);_(@_)"/>
  </numFmts>
  <fonts count="3" x14ac:knownFonts="1">
    <font>
      <sz val="10"/>
      <color theme="1"/>
      <name val="Calibri"/>
    </font>
    <font>
      <b/>
      <sz val="10"/>
      <color theme="1"/>
      <name val="Calibri"/>
      <family val="2"/>
    </font>
    <font>
      <sz val="10"/>
      <color theme="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C9FFC3"/>
        <bgColor indexed="64"/>
      </patternFill>
    </fill>
    <fill>
      <patternFill patternType="solid">
        <fgColor rgb="FFFFFFE6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3">
    <xf numFmtId="0" fontId="0" fillId="0" borderId="0"/>
    <xf numFmtId="44" fontId="2" fillId="0" borderId="0" applyFont="0" applyFill="0" applyBorder="0" applyAlignment="0" applyProtection="0"/>
    <xf numFmtId="0" fontId="2" fillId="0" borderId="0"/>
  </cellStyleXfs>
  <cellXfs count="18">
    <xf numFmtId="0" fontId="0" fillId="0" borderId="0" xfId="0"/>
    <xf numFmtId="0" fontId="1" fillId="2" borderId="1" xfId="0" applyFont="1" applyFill="1" applyBorder="1"/>
    <xf numFmtId="8" fontId="0" fillId="4" borderId="1" xfId="0" applyNumberFormat="1" applyFill="1" applyBorder="1"/>
    <xf numFmtId="1" fontId="0" fillId="3" borderId="1" xfId="0" applyNumberFormat="1" applyFill="1" applyBorder="1"/>
    <xf numFmtId="44" fontId="0" fillId="3" borderId="1" xfId="1" applyFont="1" applyFill="1" applyBorder="1"/>
    <xf numFmtId="0" fontId="1" fillId="2" borderId="2" xfId="0" applyFont="1" applyFill="1" applyBorder="1"/>
    <xf numFmtId="0" fontId="1" fillId="0" borderId="0" xfId="0" applyFont="1"/>
    <xf numFmtId="1" fontId="1" fillId="2" borderId="1" xfId="0" applyNumberFormat="1" applyFont="1" applyFill="1" applyBorder="1"/>
    <xf numFmtId="1" fontId="0" fillId="0" borderId="0" xfId="0" applyNumberFormat="1"/>
    <xf numFmtId="44" fontId="0" fillId="0" borderId="0" xfId="0" applyNumberFormat="1"/>
    <xf numFmtId="8" fontId="0" fillId="0" borderId="0" xfId="0" applyNumberFormat="1"/>
    <xf numFmtId="8" fontId="0" fillId="5" borderId="0" xfId="0" applyNumberFormat="1" applyFill="1"/>
    <xf numFmtId="0" fontId="1" fillId="6" borderId="1" xfId="0" applyFont="1" applyFill="1" applyBorder="1"/>
    <xf numFmtId="1" fontId="2" fillId="3" borderId="1" xfId="0" applyNumberFormat="1" applyFont="1" applyFill="1" applyBorder="1"/>
    <xf numFmtId="0" fontId="2" fillId="5" borderId="1" xfId="0" quotePrefix="1" applyFont="1" applyFill="1" applyBorder="1"/>
    <xf numFmtId="0" fontId="0" fillId="0" borderId="1" xfId="0" applyBorder="1"/>
    <xf numFmtId="8" fontId="0" fillId="7" borderId="1" xfId="0" applyNumberFormat="1" applyFill="1" applyBorder="1"/>
    <xf numFmtId="1" fontId="0" fillId="7" borderId="1" xfId="0" applyNumberFormat="1" applyFill="1" applyBorder="1"/>
  </cellXfs>
  <cellStyles count="3">
    <cellStyle name="Currency" xfId="1" builtinId="4"/>
    <cellStyle name="Normal" xfId="0" builtinId="0"/>
    <cellStyle name="Normal 2" xfId="2" xr:uid="{71CBD30A-C2EB-4FAB-85DE-5C90F11814F9}"/>
  </cellStyles>
  <dxfs count="3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31A572-DBCA-4727-9FCC-B7F090A43239}">
  <dimension ref="A1:R5"/>
  <sheetViews>
    <sheetView showGridLines="0" tabSelected="1" zoomScale="130" zoomScaleNormal="130" workbookViewId="0">
      <pane ySplit="1" topLeftCell="A2" activePane="bottomLeft" state="frozen"/>
      <selection pane="bottomLeft" activeCell="D2" sqref="D2"/>
    </sheetView>
  </sheetViews>
  <sheetFormatPr defaultRowHeight="18" customHeight="1" x14ac:dyDescent="0.2"/>
  <cols>
    <col min="1" max="1" width="20.140625" bestFit="1" customWidth="1"/>
    <col min="2" max="2" width="28.85546875" customWidth="1"/>
    <col min="3" max="4" width="16.28515625" bestFit="1" customWidth="1"/>
    <col min="5" max="5" width="8.5703125" bestFit="1" customWidth="1"/>
    <col min="6" max="6" width="8.28515625" style="8" bestFit="1" customWidth="1"/>
    <col min="7" max="7" width="11.7109375" bestFit="1" customWidth="1"/>
    <col min="8" max="8" width="7.5703125" style="8" bestFit="1" customWidth="1"/>
    <col min="9" max="9" width="7.5703125" bestFit="1" customWidth="1"/>
    <col min="10" max="10" width="6" bestFit="1" customWidth="1"/>
    <col min="11" max="11" width="9.140625" bestFit="1" customWidth="1"/>
    <col min="12" max="12" width="12" bestFit="1" customWidth="1"/>
    <col min="13" max="13" width="16" bestFit="1" customWidth="1"/>
    <col min="14" max="14" width="11.42578125" style="6" bestFit="1" customWidth="1"/>
    <col min="16" max="16" width="11.42578125" bestFit="1" customWidth="1"/>
    <col min="17" max="17" width="12" bestFit="1" customWidth="1"/>
    <col min="18" max="18" width="10.42578125" bestFit="1" customWidth="1"/>
  </cols>
  <sheetData>
    <row r="1" spans="1:18" ht="18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7" t="s">
        <v>5</v>
      </c>
      <c r="G1" s="1" t="s">
        <v>6</v>
      </c>
      <c r="H1" s="7" t="s">
        <v>7</v>
      </c>
      <c r="I1" s="1" t="s">
        <v>8</v>
      </c>
      <c r="J1" s="1" t="s">
        <v>9</v>
      </c>
      <c r="K1" s="1" t="s">
        <v>10</v>
      </c>
      <c r="L1" s="1" t="s">
        <v>6</v>
      </c>
      <c r="M1" s="1" t="s">
        <v>11</v>
      </c>
      <c r="N1" s="5" t="s">
        <v>12</v>
      </c>
      <c r="R1" s="14" t="s">
        <v>14</v>
      </c>
    </row>
    <row r="2" spans="1:18" ht="18" customHeight="1" x14ac:dyDescent="0.2">
      <c r="A2" s="15" t="s">
        <v>15</v>
      </c>
      <c r="B2" s="15" t="s">
        <v>16</v>
      </c>
      <c r="C2" s="15" t="s">
        <v>17</v>
      </c>
      <c r="D2" s="15" t="s">
        <v>17</v>
      </c>
      <c r="E2" s="16">
        <v>25</v>
      </c>
      <c r="F2" s="17">
        <v>10</v>
      </c>
      <c r="G2" s="2">
        <f t="shared" ref="G2:G5" si="0">E2*F2</f>
        <v>250</v>
      </c>
      <c r="H2" s="3">
        <v>200</v>
      </c>
      <c r="I2" s="3">
        <v>2260</v>
      </c>
      <c r="J2" s="13">
        <f t="shared" ref="J2:J5" si="1">H2+I2</f>
        <v>2460</v>
      </c>
      <c r="K2" s="3">
        <f t="shared" ref="K2:K5" si="2">F2-J2</f>
        <v>-2450</v>
      </c>
      <c r="L2" s="4">
        <f t="shared" ref="L2:L5" si="3">J2*E2</f>
        <v>61500</v>
      </c>
      <c r="M2" s="4">
        <f t="shared" ref="M2:M5" si="4">G2-L2</f>
        <v>-61250</v>
      </c>
      <c r="N2" s="12" t="str">
        <f t="shared" ref="N2:N5" si="5">IF(M2&gt;0,"KEEP SELLING", "DO NOT SELL")</f>
        <v>DO NOT SELL</v>
      </c>
      <c r="P2" s="10">
        <f>SUM(G2:G5)</f>
        <v>98086</v>
      </c>
      <c r="Q2" s="9">
        <f>SUM(L2:L5)</f>
        <v>87104</v>
      </c>
      <c r="R2" s="11">
        <f>P2-Q2</f>
        <v>10982</v>
      </c>
    </row>
    <row r="3" spans="1:18" ht="18" customHeight="1" x14ac:dyDescent="0.2">
      <c r="A3" s="15" t="s">
        <v>15</v>
      </c>
      <c r="B3" s="15" t="s">
        <v>16</v>
      </c>
      <c r="C3" s="15" t="s">
        <v>18</v>
      </c>
      <c r="D3" s="15" t="s">
        <v>18</v>
      </c>
      <c r="E3" s="16">
        <v>20</v>
      </c>
      <c r="F3" s="17">
        <v>1395</v>
      </c>
      <c r="G3" s="2">
        <f t="shared" si="0"/>
        <v>27900</v>
      </c>
      <c r="H3" s="3">
        <v>703</v>
      </c>
      <c r="I3" s="3">
        <v>42</v>
      </c>
      <c r="J3" s="13">
        <f t="shared" si="1"/>
        <v>745</v>
      </c>
      <c r="K3" s="3">
        <f t="shared" si="2"/>
        <v>650</v>
      </c>
      <c r="L3" s="4">
        <f t="shared" si="3"/>
        <v>14900</v>
      </c>
      <c r="M3" s="4">
        <f t="shared" si="4"/>
        <v>13000</v>
      </c>
      <c r="N3" s="12" t="str">
        <f t="shared" si="5"/>
        <v>KEEP SELLING</v>
      </c>
    </row>
    <row r="4" spans="1:18" ht="18" customHeight="1" x14ac:dyDescent="0.2">
      <c r="A4" s="15" t="s">
        <v>15</v>
      </c>
      <c r="B4" s="15" t="s">
        <v>16</v>
      </c>
      <c r="C4" s="15" t="s">
        <v>13</v>
      </c>
      <c r="D4" s="15" t="s">
        <v>13</v>
      </c>
      <c r="E4" s="16">
        <v>54</v>
      </c>
      <c r="F4" s="17">
        <v>670</v>
      </c>
      <c r="G4" s="2">
        <f t="shared" si="0"/>
        <v>36180</v>
      </c>
      <c r="H4" s="3">
        <v>79</v>
      </c>
      <c r="I4" s="3"/>
      <c r="J4" s="13">
        <f t="shared" si="1"/>
        <v>79</v>
      </c>
      <c r="K4" s="3">
        <f t="shared" si="2"/>
        <v>591</v>
      </c>
      <c r="L4" s="4">
        <f t="shared" si="3"/>
        <v>4266</v>
      </c>
      <c r="M4" s="4">
        <f t="shared" si="4"/>
        <v>31914</v>
      </c>
      <c r="N4" s="12" t="str">
        <f t="shared" si="5"/>
        <v>KEEP SELLING</v>
      </c>
    </row>
    <row r="5" spans="1:18" ht="18" customHeight="1" x14ac:dyDescent="0.2">
      <c r="A5" s="15" t="s">
        <v>15</v>
      </c>
      <c r="B5" s="15" t="s">
        <v>16</v>
      </c>
      <c r="C5" s="15" t="s">
        <v>19</v>
      </c>
      <c r="D5" s="15" t="s">
        <v>19</v>
      </c>
      <c r="E5" s="16">
        <v>87</v>
      </c>
      <c r="F5" s="17">
        <v>388</v>
      </c>
      <c r="G5" s="2">
        <f t="shared" si="0"/>
        <v>33756</v>
      </c>
      <c r="H5" s="3">
        <v>74</v>
      </c>
      <c r="I5" s="3"/>
      <c r="J5" s="13">
        <f t="shared" si="1"/>
        <v>74</v>
      </c>
      <c r="K5" s="3">
        <f t="shared" si="2"/>
        <v>314</v>
      </c>
      <c r="L5" s="4">
        <f t="shared" si="3"/>
        <v>6438</v>
      </c>
      <c r="M5" s="4">
        <f t="shared" si="4"/>
        <v>27318</v>
      </c>
      <c r="N5" s="12" t="str">
        <f t="shared" si="5"/>
        <v>KEEP SELLING</v>
      </c>
    </row>
  </sheetData>
  <conditionalFormatting sqref="H2:N5">
    <cfRule type="cellIs" dxfId="2" priority="1" operator="lessThan">
      <formula>0</formula>
    </cfRule>
  </conditionalFormatting>
  <conditionalFormatting sqref="N1:N1048576">
    <cfRule type="containsText" dxfId="1" priority="11" operator="containsText" text="DO NOT SELL">
      <formula>NOT(ISERROR(SEARCH("DO NOT SELL",N1)))</formula>
    </cfRule>
    <cfRule type="containsText" dxfId="0" priority="12" operator="containsText" text="KEEP SELLING">
      <formula>NOT(ISERROR(SEARCH("KEEP SELLING",N1)))</formula>
    </cfRule>
  </conditionalFormatting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sending to samsung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Sebastian Aristizabal</cp:lastModifiedBy>
  <cp:revision>1</cp:revision>
  <dcterms:created xsi:type="dcterms:W3CDTF">2025-06-23T13:55:17Z</dcterms:created>
  <dcterms:modified xsi:type="dcterms:W3CDTF">2026-02-24T14:31:32Z</dcterms:modified>
  <cp:category/>
  <cp:contentStatus/>
</cp:coreProperties>
</file>