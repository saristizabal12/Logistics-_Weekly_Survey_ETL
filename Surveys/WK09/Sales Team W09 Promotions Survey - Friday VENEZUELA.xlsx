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F2322057-D442-4CAF-8CB8-DBE318A6DDA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4" l="1"/>
  <c r="J11" i="14" l="1"/>
  <c r="L11" i="14" s="1"/>
  <c r="G11" i="14"/>
  <c r="J10" i="14"/>
  <c r="L10" i="14" s="1"/>
  <c r="G10" i="14"/>
  <c r="J9" i="14"/>
  <c r="L9" i="14" s="1"/>
  <c r="G9" i="14"/>
  <c r="J8" i="14"/>
  <c r="L8" i="14" s="1"/>
  <c r="G8" i="14"/>
  <c r="M8" i="14" s="1"/>
  <c r="N8" i="14" s="1"/>
  <c r="J7" i="14"/>
  <c r="K7" i="14" s="1"/>
  <c r="G7" i="14"/>
  <c r="J6" i="14"/>
  <c r="L6" i="14" s="1"/>
  <c r="G6" i="14"/>
  <c r="J5" i="14"/>
  <c r="K5" i="14" s="1"/>
  <c r="G5" i="14"/>
  <c r="J4" i="14"/>
  <c r="L4" i="14" s="1"/>
  <c r="G4" i="14"/>
  <c r="J3" i="14"/>
  <c r="L3" i="14" s="1"/>
  <c r="G3" i="14"/>
  <c r="J2" i="14"/>
  <c r="L2" i="14" s="1"/>
  <c r="G2" i="14"/>
  <c r="M2" i="14" s="1"/>
  <c r="N2" i="14" s="1"/>
  <c r="M4" i="14" l="1"/>
  <c r="N4" i="14" s="1"/>
  <c r="Q2" i="14"/>
  <c r="R2" i="14" s="1"/>
  <c r="M3" i="14"/>
  <c r="N3" i="14" s="1"/>
  <c r="M11" i="14"/>
  <c r="N11" i="14" s="1"/>
  <c r="M10" i="14"/>
  <c r="N10" i="14" s="1"/>
  <c r="K11" i="14"/>
  <c r="M9" i="14"/>
  <c r="N9" i="14" s="1"/>
  <c r="M6" i="14"/>
  <c r="N6" i="14" s="1"/>
  <c r="K6" i="14"/>
  <c r="K10" i="14"/>
  <c r="K2" i="14"/>
  <c r="K3" i="14"/>
  <c r="K9" i="14"/>
  <c r="L5" i="14"/>
  <c r="M5" i="14" s="1"/>
  <c r="N5" i="14" s="1"/>
  <c r="L7" i="14"/>
  <c r="M7" i="14" s="1"/>
  <c r="N7" i="14" s="1"/>
  <c r="K4" i="14"/>
  <c r="K8" i="14"/>
</calcChain>
</file>

<file path=xl/sharedStrings.xml><?xml version="1.0" encoding="utf-8"?>
<sst xmlns="http://schemas.openxmlformats.org/spreadsheetml/2006/main" count="55" uniqueCount="26">
  <si>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</si>
  <si>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</si>
  <si>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</si>
  <si>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</si>
  <si>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</si>
  <si>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</si>
  <si>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</si>
  <si>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</si>
  <si>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</si>
  <si>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</si>
  <si>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</si>
  <si>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</si>
  <si>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</si>
  <si>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0117</t>
  </si>
  <si>
    <t>A06</t>
  </si>
  <si>
    <t>A07</t>
  </si>
  <si>
    <t>A16</t>
  </si>
  <si>
    <t>A17</t>
  </si>
  <si>
    <t>S25</t>
  </si>
  <si>
    <t>S25+</t>
  </si>
  <si>
    <t>A0S3A0A260000133</t>
  </si>
  <si>
    <t>VITEL W8-W9 VE Special Market Sell-Thru Promotion</t>
  </si>
  <si>
    <t>A26-5G</t>
  </si>
  <si>
    <t>A36-5G</t>
  </si>
  <si>
    <t>A56-5G</t>
  </si>
  <si>
    <t>S25-ULTRA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</si>
</sst>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8" fontId="0" fillId="7" borderId="1" xfId="0" applyNumberFormat="1" applyFill="1" applyBorder="1"/>
    <xf numFmtId="1" fontId="0" fillId="7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R11"/>
  <sheetViews>
    <sheetView showGridLines="0" tabSelected="1" zoomScale="115" zoomScaleNormal="115" workbookViewId="0">
      <pane ySplit="1" topLeftCell="A2" activePane="bottomLeft" state="frozen"/>
      <selection pane="bottomLeft" activeCell="B3" sqref="B3"/>
    </sheetView>
  </sheetViews>
  <sheetFormatPr defaultRowHeight="18" customHeight="1" x14ac:dyDescent="0.2"/>
  <cols>
    <col min="1" max="1" width="20.140625" bestFit="1" customWidth="1"/>
    <col min="2" max="2" width="50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13</v>
      </c>
    </row>
    <row r="2" spans="1:18" ht="18" customHeight="1" x14ac:dyDescent="0.2">
      <c r="A2" s="15" t="s">
        <v>20</v>
      </c>
      <c r="B2" s="15" t="s">
        <v>21</v>
      </c>
      <c r="C2" s="15" t="s">
        <v>14</v>
      </c>
      <c r="D2" s="15" t="s">
        <v>14</v>
      </c>
      <c r="E2" s="16">
        <v>5</v>
      </c>
      <c r="F2" s="17">
        <v>3300</v>
      </c>
      <c r="G2" s="2">
        <f t="shared" ref="G2:G11" si="0">E2*F2</f>
        <v>16500</v>
      </c>
      <c r="H2" s="3">
        <v>2100</v>
      </c>
      <c r="I2" s="3">
        <v>1200</v>
      </c>
      <c r="J2" s="13">
        <f t="shared" ref="J2:J11" si="1">H2+I2</f>
        <v>3300</v>
      </c>
      <c r="K2" s="3">
        <f t="shared" ref="K2:K11" si="2">F2-J2</f>
        <v>0</v>
      </c>
      <c r="L2" s="4">
        <f t="shared" ref="L2:L11" si="3">J2*E2</f>
        <v>16500</v>
      </c>
      <c r="M2" s="4">
        <f t="shared" ref="M2:M11" si="4">G2-L2</f>
        <v>0</v>
      </c>
      <c r="N2" s="12" t="str">
        <f t="shared" ref="N2:N11" si="5">IF(M2&gt;0,"KEEP SELLING", "DO NOT SELL")</f>
        <v>DO NOT SELL</v>
      </c>
      <c r="P2" s="10">
        <f>SUM(G2:G11)</f>
        <v>41665</v>
      </c>
      <c r="Q2" s="9">
        <f>SUM(L2:L11)</f>
        <v>37785</v>
      </c>
      <c r="R2" s="11">
        <f>P2-Q2</f>
        <v>3880</v>
      </c>
    </row>
    <row r="3" spans="1:18" ht="18" customHeight="1" x14ac:dyDescent="0.2">
      <c r="A3" s="15" t="s">
        <v>20</v>
      </c>
      <c r="B3" s="15" t="s">
        <v>21</v>
      </c>
      <c r="C3" s="15" t="s">
        <v>15</v>
      </c>
      <c r="D3" s="15" t="s">
        <v>15</v>
      </c>
      <c r="E3" s="16">
        <v>5</v>
      </c>
      <c r="F3" s="17">
        <v>2100</v>
      </c>
      <c r="G3" s="2">
        <f t="shared" si="0"/>
        <v>10500</v>
      </c>
      <c r="H3" s="3">
        <v>1300</v>
      </c>
      <c r="I3" s="3">
        <v>800</v>
      </c>
      <c r="J3" s="13">
        <f t="shared" si="1"/>
        <v>2100</v>
      </c>
      <c r="K3" s="3">
        <f t="shared" si="2"/>
        <v>0</v>
      </c>
      <c r="L3" s="4">
        <f t="shared" si="3"/>
        <v>10500</v>
      </c>
      <c r="M3" s="4">
        <f t="shared" si="4"/>
        <v>0</v>
      </c>
      <c r="N3" s="12" t="str">
        <f t="shared" si="5"/>
        <v>DO NOT SELL</v>
      </c>
    </row>
    <row r="4" spans="1:18" ht="18" customHeight="1" x14ac:dyDescent="0.2">
      <c r="A4" s="15" t="s">
        <v>20</v>
      </c>
      <c r="B4" s="15" t="s">
        <v>21</v>
      </c>
      <c r="C4" s="15" t="s">
        <v>16</v>
      </c>
      <c r="D4" s="15" t="s">
        <v>16</v>
      </c>
      <c r="E4" s="16">
        <v>2</v>
      </c>
      <c r="F4" s="17">
        <v>1860</v>
      </c>
      <c r="G4" s="2">
        <f t="shared" si="0"/>
        <v>3720</v>
      </c>
      <c r="H4" s="3">
        <v>860</v>
      </c>
      <c r="I4" s="3">
        <v>400</v>
      </c>
      <c r="J4" s="13">
        <f t="shared" si="1"/>
        <v>1260</v>
      </c>
      <c r="K4" s="3">
        <f t="shared" si="2"/>
        <v>600</v>
      </c>
      <c r="L4" s="4">
        <f t="shared" si="3"/>
        <v>2520</v>
      </c>
      <c r="M4" s="4">
        <f t="shared" si="4"/>
        <v>1200</v>
      </c>
      <c r="N4" s="12" t="str">
        <f t="shared" si="5"/>
        <v>KEEP SELLING</v>
      </c>
    </row>
    <row r="5" spans="1:18" ht="18" customHeight="1" x14ac:dyDescent="0.2">
      <c r="A5" s="15" t="s">
        <v>20</v>
      </c>
      <c r="B5" s="15" t="s">
        <v>21</v>
      </c>
      <c r="C5" s="15" t="s">
        <v>17</v>
      </c>
      <c r="D5" s="15" t="s">
        <v>17</v>
      </c>
      <c r="E5" s="16">
        <v>5</v>
      </c>
      <c r="F5" s="17">
        <v>320</v>
      </c>
      <c r="G5" s="2">
        <f t="shared" si="0"/>
        <v>1600</v>
      </c>
      <c r="H5" s="3">
        <v>90</v>
      </c>
      <c r="I5" s="3"/>
      <c r="J5" s="13">
        <f t="shared" si="1"/>
        <v>90</v>
      </c>
      <c r="K5" s="3">
        <f t="shared" si="2"/>
        <v>230</v>
      </c>
      <c r="L5" s="4">
        <f t="shared" si="3"/>
        <v>450</v>
      </c>
      <c r="M5" s="4">
        <f t="shared" si="4"/>
        <v>1150</v>
      </c>
      <c r="N5" s="12" t="str">
        <f t="shared" si="5"/>
        <v>KEEP SELLING</v>
      </c>
    </row>
    <row r="6" spans="1:18" ht="18" customHeight="1" x14ac:dyDescent="0.2">
      <c r="A6" s="15" t="s">
        <v>20</v>
      </c>
      <c r="B6" s="15" t="s">
        <v>21</v>
      </c>
      <c r="C6" s="15" t="s">
        <v>22</v>
      </c>
      <c r="D6" s="15" t="s">
        <v>22</v>
      </c>
      <c r="E6" s="16">
        <v>5</v>
      </c>
      <c r="F6" s="17">
        <v>220</v>
      </c>
      <c r="G6" s="2">
        <f t="shared" si="0"/>
        <v>1100</v>
      </c>
      <c r="H6" s="3">
        <v>120</v>
      </c>
      <c r="I6" s="3"/>
      <c r="J6" s="13">
        <f t="shared" si="1"/>
        <v>120</v>
      </c>
      <c r="K6" s="3">
        <f t="shared" si="2"/>
        <v>100</v>
      </c>
      <c r="L6" s="4">
        <f t="shared" si="3"/>
        <v>600</v>
      </c>
      <c r="M6" s="4">
        <f t="shared" si="4"/>
        <v>500</v>
      </c>
      <c r="N6" s="12" t="str">
        <f t="shared" si="5"/>
        <v>KEEP SELLING</v>
      </c>
    </row>
    <row r="7" spans="1:18" ht="18" customHeight="1" x14ac:dyDescent="0.2">
      <c r="A7" s="15" t="s">
        <v>20</v>
      </c>
      <c r="B7" s="15" t="s">
        <v>21</v>
      </c>
      <c r="C7" s="15" t="s">
        <v>23</v>
      </c>
      <c r="D7" s="15" t="s">
        <v>23</v>
      </c>
      <c r="E7" s="16">
        <v>5</v>
      </c>
      <c r="F7" s="17">
        <v>265</v>
      </c>
      <c r="G7" s="2">
        <f t="shared" si="0"/>
        <v>1325</v>
      </c>
      <c r="H7" s="3">
        <v>245</v>
      </c>
      <c r="I7" s="3">
        <v>30</v>
      </c>
      <c r="J7" s="13">
        <f t="shared" si="1"/>
        <v>275</v>
      </c>
      <c r="K7" s="3">
        <f t="shared" si="2"/>
        <v>-10</v>
      </c>
      <c r="L7" s="4">
        <f t="shared" si="3"/>
        <v>1375</v>
      </c>
      <c r="M7" s="4">
        <f t="shared" si="4"/>
        <v>-50</v>
      </c>
      <c r="N7" s="12" t="str">
        <f t="shared" si="5"/>
        <v>DO NOT SELL</v>
      </c>
    </row>
    <row r="8" spans="1:18" ht="18" customHeight="1" x14ac:dyDescent="0.2">
      <c r="A8" s="15" t="s">
        <v>20</v>
      </c>
      <c r="B8" s="15" t="s">
        <v>21</v>
      </c>
      <c r="C8" s="15" t="s">
        <v>24</v>
      </c>
      <c r="D8" s="15" t="s">
        <v>24</v>
      </c>
      <c r="E8" s="16">
        <v>5</v>
      </c>
      <c r="F8" s="17">
        <v>0</v>
      </c>
      <c r="G8" s="2">
        <f t="shared" si="0"/>
        <v>0</v>
      </c>
      <c r="H8" s="3"/>
      <c r="I8" s="3"/>
      <c r="J8" s="13">
        <f t="shared" si="1"/>
        <v>0</v>
      </c>
      <c r="K8" s="3">
        <f t="shared" si="2"/>
        <v>0</v>
      </c>
      <c r="L8" s="4">
        <f t="shared" si="3"/>
        <v>0</v>
      </c>
      <c r="M8" s="4">
        <f t="shared" si="4"/>
        <v>0</v>
      </c>
      <c r="N8" s="12" t="str">
        <f t="shared" si="5"/>
        <v>DO NOT SELL</v>
      </c>
    </row>
    <row r="9" spans="1:18" ht="18" customHeight="1" x14ac:dyDescent="0.2">
      <c r="A9" s="15" t="s">
        <v>20</v>
      </c>
      <c r="B9" s="15" t="s">
        <v>21</v>
      </c>
      <c r="C9" s="15" t="s">
        <v>18</v>
      </c>
      <c r="D9" s="15" t="s">
        <v>18</v>
      </c>
      <c r="E9" s="16">
        <v>30</v>
      </c>
      <c r="F9" s="17">
        <v>0</v>
      </c>
      <c r="G9" s="2">
        <f t="shared" si="0"/>
        <v>0</v>
      </c>
      <c r="H9" s="3"/>
      <c r="I9" s="3"/>
      <c r="J9" s="13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18" ht="18" customHeight="1" x14ac:dyDescent="0.2">
      <c r="A10" s="15" t="s">
        <v>20</v>
      </c>
      <c r="B10" s="15" t="s">
        <v>21</v>
      </c>
      <c r="C10" s="15" t="s">
        <v>19</v>
      </c>
      <c r="D10" s="15" t="s">
        <v>19</v>
      </c>
      <c r="E10" s="16">
        <v>30</v>
      </c>
      <c r="F10" s="17">
        <v>20</v>
      </c>
      <c r="G10" s="2">
        <f t="shared" si="0"/>
        <v>600</v>
      </c>
      <c r="H10" s="3"/>
      <c r="I10" s="3"/>
      <c r="J10" s="13">
        <f t="shared" si="1"/>
        <v>0</v>
      </c>
      <c r="K10" s="3">
        <f t="shared" si="2"/>
        <v>20</v>
      </c>
      <c r="L10" s="4">
        <f t="shared" si="3"/>
        <v>0</v>
      </c>
      <c r="M10" s="4">
        <f t="shared" si="4"/>
        <v>600</v>
      </c>
      <c r="N10" s="12" t="str">
        <f t="shared" si="5"/>
        <v>KEEP SELLING</v>
      </c>
    </row>
    <row r="11" spans="1:18" ht="18" customHeight="1" x14ac:dyDescent="0.2">
      <c r="A11" s="15" t="s">
        <v>20</v>
      </c>
      <c r="B11" s="15" t="s">
        <v>21</v>
      </c>
      <c r="C11" s="15" t="s">
        <v>25</v>
      </c>
      <c r="D11" s="15" t="s">
        <v>25</v>
      </c>
      <c r="E11" s="16">
        <v>80</v>
      </c>
      <c r="F11" s="17">
        <v>79</v>
      </c>
      <c r="G11" s="2">
        <f t="shared" si="0"/>
        <v>6320</v>
      </c>
      <c r="H11" s="3">
        <v>68</v>
      </c>
      <c r="I11" s="3">
        <v>5</v>
      </c>
      <c r="J11" s="13">
        <f t="shared" si="1"/>
        <v>73</v>
      </c>
      <c r="K11" s="3">
        <f t="shared" si="2"/>
        <v>6</v>
      </c>
      <c r="L11" s="4">
        <f t="shared" si="3"/>
        <v>5840</v>
      </c>
      <c r="M11" s="4">
        <f t="shared" si="4"/>
        <v>480</v>
      </c>
      <c r="N11" s="12" t="str">
        <f t="shared" si="5"/>
        <v>KEEP SELLING</v>
      </c>
    </row>
  </sheetData>
  <autoFilter ref="A1:N11" xr:uid="{E531A572-DBCA-4727-9FCC-B7F090A43239}"/>
  <conditionalFormatting sqref="H2:N11">
    <cfRule type="cellIs" dxfId="2" priority="1" operator="lessThan">
      <formula>0</formula>
    </cfRule>
  </conditionalFormatting>
  <conditionalFormatting sqref="N1:N1048576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2026-02-27T17:08:52Z</dcterms:modified>
  <cp:category/>
  <cp:contentStatus/>
</cp:coreProperties>
</file>