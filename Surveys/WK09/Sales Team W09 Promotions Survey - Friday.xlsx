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1FD07FBC-027B-4EE4-946B-6C1285D01C07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J70" i="14" l="1"/>
  <c r="L70" i="14" s="1"/>
  <c r="J69" i="14"/>
  <c r="K69" i="14" s="1"/>
  <c r="J68" i="14"/>
  <c r="L68" i="14" s="1"/>
  <c r="J67" i="14"/>
  <c r="K67" i="14" s="1"/>
  <c r="J66" i="14"/>
  <c r="L66" i="14" s="1"/>
  <c r="J65" i="14"/>
  <c r="K65" i="14" s="1"/>
  <c r="J64" i="14"/>
  <c r="L64" i="14" s="1"/>
  <c r="J63" i="14"/>
  <c r="L63" i="14" s="1"/>
  <c r="J62" i="14"/>
  <c r="K62" i="14" s="1"/>
  <c r="J61" i="14"/>
  <c r="L61" i="14" s="1"/>
  <c r="J60" i="14"/>
  <c r="L60" i="14" s="1"/>
  <c r="J59" i="14"/>
  <c r="K59" i="14" s="1"/>
  <c r="G70" i="14"/>
  <c r="G69" i="14"/>
  <c r="G68" i="14"/>
  <c r="G67" i="14"/>
  <c r="G66" i="14"/>
  <c r="G65" i="14"/>
  <c r="G64" i="14"/>
  <c r="G63" i="14"/>
  <c r="G62" i="14"/>
  <c r="G61" i="14"/>
  <c r="G60" i="14"/>
  <c r="G59" i="14"/>
  <c r="M61" i="14" l="1"/>
  <c r="N61" i="14" s="1"/>
  <c r="M66" i="14"/>
  <c r="N66" i="14" s="1"/>
  <c r="M70" i="14"/>
  <c r="N70" i="14" s="1"/>
  <c r="K66" i="14"/>
  <c r="M68" i="14"/>
  <c r="N68" i="14" s="1"/>
  <c r="M64" i="14"/>
  <c r="N64" i="14" s="1"/>
  <c r="M60" i="14"/>
  <c r="N60" i="14" s="1"/>
  <c r="K61" i="14"/>
  <c r="L69" i="14"/>
  <c r="M69" i="14" s="1"/>
  <c r="N69" i="14" s="1"/>
  <c r="M63" i="14"/>
  <c r="N63" i="14" s="1"/>
  <c r="K64" i="14"/>
  <c r="L67" i="14"/>
  <c r="M67" i="14" s="1"/>
  <c r="N67" i="14" s="1"/>
  <c r="L65" i="14"/>
  <c r="M65" i="14" s="1"/>
  <c r="N65" i="14" s="1"/>
  <c r="K70" i="14"/>
  <c r="L59" i="14"/>
  <c r="M59" i="14" s="1"/>
  <c r="N59" i="14" s="1"/>
  <c r="L62" i="14"/>
  <c r="M62" i="14" s="1"/>
  <c r="N62" i="14" s="1"/>
  <c r="K63" i="14"/>
  <c r="K60" i="14"/>
  <c r="K68" i="14"/>
  <c r="J58" i="14" l="1"/>
  <c r="L58" i="14" s="1"/>
  <c r="G58" i="14"/>
  <c r="J57" i="14"/>
  <c r="K57" i="14" s="1"/>
  <c r="G57" i="14"/>
  <c r="J56" i="14"/>
  <c r="L56" i="14" s="1"/>
  <c r="G56" i="14"/>
  <c r="J55" i="14"/>
  <c r="K55" i="14" s="1"/>
  <c r="G55" i="14"/>
  <c r="J54" i="14"/>
  <c r="L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L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J45" i="14"/>
  <c r="L45" i="14" s="1"/>
  <c r="Q5" i="14" s="1"/>
  <c r="G45" i="14"/>
  <c r="P5" i="14" s="1"/>
  <c r="J44" i="14"/>
  <c r="L44" i="14" s="1"/>
  <c r="G44" i="14"/>
  <c r="J43" i="14"/>
  <c r="L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35" i="14"/>
  <c r="L35" i="14" s="1"/>
  <c r="G35" i="14"/>
  <c r="J13" i="14"/>
  <c r="K13" i="14" s="1"/>
  <c r="G13" i="14"/>
  <c r="J34" i="14"/>
  <c r="L34" i="14" s="1"/>
  <c r="G34" i="14"/>
  <c r="J33" i="14"/>
  <c r="L33" i="14" s="1"/>
  <c r="G33" i="14"/>
  <c r="J32" i="14"/>
  <c r="L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M26" i="14" l="1"/>
  <c r="N26" i="14" s="1"/>
  <c r="P6" i="14"/>
  <c r="Q4" i="14"/>
  <c r="T2" i="14" s="1"/>
  <c r="M51" i="14"/>
  <c r="N51" i="14" s="1"/>
  <c r="M44" i="14"/>
  <c r="N44" i="14" s="1"/>
  <c r="M41" i="14"/>
  <c r="N41" i="14" s="1"/>
  <c r="M33" i="14"/>
  <c r="N33" i="14" s="1"/>
  <c r="M32" i="14"/>
  <c r="N32" i="14" s="1"/>
  <c r="M45" i="14"/>
  <c r="N45" i="14" s="1"/>
  <c r="M47" i="14"/>
  <c r="N47" i="14" s="1"/>
  <c r="M52" i="14"/>
  <c r="N52" i="14" s="1"/>
  <c r="K56" i="14"/>
  <c r="K54" i="14"/>
  <c r="M48" i="14"/>
  <c r="N48" i="14" s="1"/>
  <c r="K52" i="14"/>
  <c r="K48" i="14"/>
  <c r="K50" i="14"/>
  <c r="M25" i="14"/>
  <c r="N25" i="14" s="1"/>
  <c r="M56" i="14"/>
  <c r="N56" i="14" s="1"/>
  <c r="M54" i="14"/>
  <c r="N54" i="14" s="1"/>
  <c r="M50" i="14"/>
  <c r="N50" i="14" s="1"/>
  <c r="M53" i="14"/>
  <c r="N53" i="14" s="1"/>
  <c r="M58" i="14"/>
  <c r="N58" i="14" s="1"/>
  <c r="K51" i="14"/>
  <c r="L55" i="14"/>
  <c r="M55" i="14" s="1"/>
  <c r="N55" i="14" s="1"/>
  <c r="K53" i="14"/>
  <c r="L57" i="14"/>
  <c r="M57" i="14" s="1"/>
  <c r="N57" i="14" s="1"/>
  <c r="K47" i="14"/>
  <c r="K58" i="14"/>
  <c r="L49" i="14"/>
  <c r="M49" i="14" s="1"/>
  <c r="N49" i="14" s="1"/>
  <c r="M46" i="14"/>
  <c r="N46" i="14" s="1"/>
  <c r="K46" i="14"/>
  <c r="K45" i="14"/>
  <c r="M38" i="14"/>
  <c r="N38" i="14" s="1"/>
  <c r="M39" i="14"/>
  <c r="N39" i="14" s="1"/>
  <c r="M43" i="14"/>
  <c r="N43" i="14" s="1"/>
  <c r="K41" i="14"/>
  <c r="L37" i="14"/>
  <c r="M37" i="14" s="1"/>
  <c r="N37" i="14" s="1"/>
  <c r="K44" i="14"/>
  <c r="K43" i="14"/>
  <c r="K38" i="14"/>
  <c r="L36" i="14"/>
  <c r="L40" i="14"/>
  <c r="M40" i="14" s="1"/>
  <c r="N40" i="14" s="1"/>
  <c r="L42" i="14"/>
  <c r="M42" i="14" s="1"/>
  <c r="N42" i="14" s="1"/>
  <c r="K39" i="14"/>
  <c r="M35" i="14"/>
  <c r="N35" i="14" s="1"/>
  <c r="K35" i="14"/>
  <c r="M19" i="14"/>
  <c r="N19" i="14" s="1"/>
  <c r="M18" i="14"/>
  <c r="N18" i="14" s="1"/>
  <c r="M24" i="14"/>
  <c r="N24" i="14" s="1"/>
  <c r="M23" i="14"/>
  <c r="N23" i="14" s="1"/>
  <c r="M29" i="14"/>
  <c r="N29" i="14" s="1"/>
  <c r="M34" i="14"/>
  <c r="N34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4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Q6" i="14" l="1"/>
  <c r="W2" i="14" s="1"/>
  <c r="M36" i="14"/>
  <c r="N36" i="14" s="1"/>
  <c r="U2" i="14"/>
  <c r="P3" i="14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V2" i="14" l="1"/>
  <c r="Q3" i="14"/>
  <c r="S2" i="14" s="1"/>
  <c r="M6" i="14"/>
  <c r="N6" i="14" s="1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<sst xmlns="http://schemas.openxmlformats.org/spreadsheetml/2006/main" count="296" uniqueCount="95">
  <si>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</si>
  <si>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</si>
  <si>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</si>
  <si>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</si>
  <si>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</si>
  <si>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</si>
  <si>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</si>
  <si>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</si>
  <si>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</si>
  <si>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</si>
  <si>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</si>
  <si>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</si>
  <si>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</si>
  <si>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</si>
  <si>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0088</t>
  </si>
  <si>
    <t>0098</t>
  </si>
  <si>
    <t>0117</t>
  </si>
  <si>
    <t>A06</t>
  </si>
  <si>
    <t>A07</t>
  </si>
  <si>
    <t>A16</t>
  </si>
  <si>
    <t>A17</t>
  </si>
  <si>
    <t>S25</t>
  </si>
  <si>
    <t>S25+</t>
  </si>
  <si>
    <t>0133</t>
  </si>
  <si>
    <t>0147</t>
  </si>
  <si>
    <t>0157</t>
  </si>
  <si>
    <t>A0S3A0A260000088</t>
  </si>
  <si>
    <t>A0S3A0A260000098</t>
  </si>
  <si>
    <t>A0S3A0A260000117</t>
  </si>
  <si>
    <t>A0S3A0A260000133</t>
  </si>
  <si>
    <t>A0S3A0A260000147</t>
  </si>
  <si>
    <t>A0S3A0A260000157</t>
  </si>
  <si>
    <t>VITEL W9 Miracle M3 Launching Sell-Thru Promotion</t>
  </si>
  <si>
    <t>VITEL OM W9 Miracle M2/M1 Launching Sell-Thru Promotion</t>
  </si>
  <si>
    <t>VITEL W7-W9 ECO ST Promo</t>
  </si>
  <si>
    <t>VITEL W8-W9 VE Special Market Sell-Thru Promotion</t>
  </si>
  <si>
    <t>VITEL W9 S25 FE OM ST Promo</t>
  </si>
  <si>
    <t>VITEL W9 AR Special Market Sell-Thru Promotion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</si>
  <si>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</si>
  <si>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</si>
  <si>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</si>
  <si>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</si>
  <si>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</si>
  <si>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</si>
  <si>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</si>
  <si>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</si>
  <si>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</si>
  <si>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</si>
  <si>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</si>
  <si>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</si>
  <si>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</si>
  <si>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</si>
  <si>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</si>
  <si>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</si>
  <si>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</si>
  <si>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</si>
  <si>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</si>
  <si>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</si>
  <si>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</si>
  <si>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</si>
  <si>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</si>
  <si>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</si>
  <si>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</si>
  <si>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</si>
  <si>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X520NLBATPA</t>
  </si>
  <si>
    <t>X520NLBETPA</t>
  </si>
  <si>
    <t>X520NZAATPA</t>
  </si>
  <si>
    <t>X520NZAETPA</t>
  </si>
  <si>
    <t>X520NZSATPA</t>
  </si>
  <si>
    <t>X520NZSETPA</t>
  </si>
  <si>
    <t>X526BLBATPA</t>
  </si>
  <si>
    <t>X526BZAATPA</t>
  </si>
  <si>
    <t>X526BZSATPA</t>
  </si>
  <si>
    <t>X620NLBATPA</t>
  </si>
  <si>
    <t>X620NLBETPA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</si>
  <si>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</si>
  <si>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</si>
  <si>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</si>
  <si>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</si>
  <si>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</si>
  <si>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</si>
  <si>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</si>
  <si>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TAB-A11</t>
  </si>
  <si>
    <t>WATCH-ULTRA</t>
  </si>
  <si>
    <t>WATCH8-CLASSIC</t>
  </si>
  <si>
    <t>A26-5G</t>
  </si>
  <si>
    <t>A36-5G</t>
  </si>
  <si>
    <t>A56-5G</t>
  </si>
  <si>
    <t>S25-ULTRA</t>
  </si>
  <si>
    <t>S25-FE</t>
  </si>
  <si>
    <t>BUDS3-FE</t>
  </si>
  <si>
    <t>TAB-S10-LITE</t>
  </si>
  <si>
    <t>S948BLBJGTO</t>
  </si>
  <si>
    <t>S948BLBKGTO</t>
  </si>
  <si>
    <t>S948BLBUGTO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</si>
</sst>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W70"/>
  <sheetViews>
    <sheetView showGridLines="0" tabSelected="1" zoomScale="85" zoomScaleNormal="85" workbookViewId="0">
      <pane ySplit="1" topLeftCell="A29" activePane="bottomLeft" state="frozen"/>
      <selection pane="bottomLeft" activeCell="I34" sqref="I34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  <col min="21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4" t="s">
        <v>14</v>
      </c>
      <c r="S1" s="14" t="s">
        <v>15</v>
      </c>
      <c r="T1" s="14" t="s">
        <v>16</v>
      </c>
      <c r="U1" s="14" t="s">
        <v>23</v>
      </c>
      <c r="V1" s="14" t="s">
        <v>24</v>
      </c>
      <c r="W1" s="14" t="s">
        <v>25</v>
      </c>
    </row>
    <row r="2" spans="1:23" ht="18" customHeight="1" x14ac:dyDescent="0.2">
      <c r="A2" s="15" t="s">
        <v>26</v>
      </c>
      <c r="B2" s="15" t="s">
        <v>32</v>
      </c>
      <c r="C2" s="15" t="s">
        <v>92</v>
      </c>
      <c r="D2" s="15" t="s">
        <v>92</v>
      </c>
      <c r="E2" s="16">
        <v>50</v>
      </c>
      <c r="F2" s="17">
        <v>20</v>
      </c>
      <c r="G2" s="2">
        <f t="shared" ref="G2" si="0">E2*F2</f>
        <v>1000</v>
      </c>
      <c r="H2" s="3">
        <v>18</v>
      </c>
      <c r="I2" s="3"/>
      <c r="J2" s="13">
        <f>H2+I2</f>
        <v>18</v>
      </c>
      <c r="K2" s="3">
        <f>F2-J2</f>
        <v>2</v>
      </c>
      <c r="L2" s="4">
        <f t="shared" ref="L2" si="1">J2*E2</f>
        <v>900</v>
      </c>
      <c r="M2" s="4">
        <f t="shared" ref="M2" si="2">G2-L2</f>
        <v>100</v>
      </c>
      <c r="N2" s="12" t="str">
        <f t="shared" ref="N2" si="3">IF(M2&gt;0,"KEEP SELLING", "DO NOT SELL")</f>
        <v>KEEP SELLING</v>
      </c>
      <c r="P2" s="10">
        <f>SUM(G2:G13)</f>
        <v>260550</v>
      </c>
      <c r="Q2" s="9">
        <f>SUM(L2:L13)</f>
        <v>241620</v>
      </c>
      <c r="R2" s="11">
        <f>P2-Q2</f>
        <v>18930</v>
      </c>
      <c r="S2" s="11">
        <f>P3-Q3</f>
        <v>29490</v>
      </c>
      <c r="T2" s="11">
        <f>P4-Q4</f>
        <v>-21071</v>
      </c>
      <c r="U2" s="11">
        <f>P5-Q5</f>
        <v>19600</v>
      </c>
      <c r="V2" s="11">
        <f>P6-Q6</f>
        <v>6560</v>
      </c>
      <c r="W2" s="11">
        <f>P6-Q6</f>
        <v>6560</v>
      </c>
    </row>
    <row r="3" spans="1:23" ht="18" customHeight="1" x14ac:dyDescent="0.2">
      <c r="A3" s="15" t="s">
        <v>26</v>
      </c>
      <c r="B3" s="15" t="s">
        <v>32</v>
      </c>
      <c r="C3" s="15" t="s">
        <v>93</v>
      </c>
      <c r="D3" s="15" t="s">
        <v>93</v>
      </c>
      <c r="E3" s="16">
        <v>80</v>
      </c>
      <c r="F3" s="17">
        <v>450</v>
      </c>
      <c r="G3" s="2">
        <f t="shared" ref="G3:G12" si="4">E3*F3</f>
        <v>36000</v>
      </c>
      <c r="H3" s="3">
        <v>373</v>
      </c>
      <c r="I3" s="3">
        <v>35</v>
      </c>
      <c r="J3" s="13">
        <f t="shared" ref="J3:J12" si="5">H3+I3</f>
        <v>408</v>
      </c>
      <c r="K3" s="3">
        <f t="shared" ref="K3:K12" si="6">F3-J3</f>
        <v>42</v>
      </c>
      <c r="L3" s="4">
        <f t="shared" ref="L3:L12" si="7">J3*E3</f>
        <v>32640</v>
      </c>
      <c r="M3" s="4">
        <f t="shared" ref="M3:M12" si="8">G3-L3</f>
        <v>3360</v>
      </c>
      <c r="N3" s="12" t="str">
        <f t="shared" ref="N3:N12" si="9">IF(M3&gt;0,"KEEP SELLING", "DO NOT SELL")</f>
        <v>KEEP SELLING</v>
      </c>
      <c r="P3" s="10">
        <f>SUM(G14:G30)</f>
        <v>106700</v>
      </c>
      <c r="Q3" s="9">
        <f>SUM(L14:L30)</f>
        <v>77210</v>
      </c>
    </row>
    <row r="4" spans="1:23" ht="18" customHeight="1" x14ac:dyDescent="0.2">
      <c r="A4" s="15" t="s">
        <v>26</v>
      </c>
      <c r="B4" s="15" t="s">
        <v>32</v>
      </c>
      <c r="C4" s="15" t="s">
        <v>94</v>
      </c>
      <c r="D4" s="15" t="s">
        <v>94</v>
      </c>
      <c r="E4" s="16">
        <v>120</v>
      </c>
      <c r="F4" s="17">
        <v>0</v>
      </c>
      <c r="G4" s="2">
        <f t="shared" si="4"/>
        <v>0</v>
      </c>
      <c r="H4" s="3"/>
      <c r="I4" s="3"/>
      <c r="J4" s="13">
        <f t="shared" si="5"/>
        <v>0</v>
      </c>
      <c r="K4" s="3">
        <f t="shared" si="6"/>
        <v>0</v>
      </c>
      <c r="L4" s="4">
        <f t="shared" si="7"/>
        <v>0</v>
      </c>
      <c r="M4" s="4">
        <f t="shared" si="8"/>
        <v>0</v>
      </c>
      <c r="N4" s="12" t="str">
        <f t="shared" si="9"/>
        <v>DO NOT SELL</v>
      </c>
      <c r="P4" s="10">
        <f>SUM(G31:G34)</f>
        <v>89344</v>
      </c>
      <c r="Q4" s="9">
        <f>SUM(L31:L34)</f>
        <v>110415</v>
      </c>
    </row>
    <row r="5" spans="1:23" ht="18" customHeight="1" x14ac:dyDescent="0.2">
      <c r="A5" s="15" t="s">
        <v>26</v>
      </c>
      <c r="B5" s="15" t="s">
        <v>32</v>
      </c>
      <c r="C5" s="15" t="s">
        <v>38</v>
      </c>
      <c r="D5" s="15" t="s">
        <v>38</v>
      </c>
      <c r="E5" s="16">
        <v>50</v>
      </c>
      <c r="F5" s="17">
        <v>660</v>
      </c>
      <c r="G5" s="2">
        <f t="shared" si="4"/>
        <v>33000</v>
      </c>
      <c r="H5" s="3">
        <v>541</v>
      </c>
      <c r="I5" s="3">
        <v>35</v>
      </c>
      <c r="J5" s="13">
        <f t="shared" si="5"/>
        <v>576</v>
      </c>
      <c r="K5" s="3">
        <f t="shared" si="6"/>
        <v>84</v>
      </c>
      <c r="L5" s="4">
        <f t="shared" si="7"/>
        <v>28800</v>
      </c>
      <c r="M5" s="4">
        <f t="shared" si="8"/>
        <v>4200</v>
      </c>
      <c r="N5" s="12" t="str">
        <f t="shared" si="9"/>
        <v>KEEP SELLING</v>
      </c>
      <c r="P5" s="10">
        <f>SUM(G45)</f>
        <v>23870</v>
      </c>
      <c r="Q5" s="9">
        <f>SUM(L45)</f>
        <v>4270</v>
      </c>
    </row>
    <row r="6" spans="1:23" ht="18" customHeight="1" x14ac:dyDescent="0.2">
      <c r="A6" s="15" t="s">
        <v>26</v>
      </c>
      <c r="B6" s="15" t="s">
        <v>32</v>
      </c>
      <c r="C6" s="15" t="s">
        <v>39</v>
      </c>
      <c r="D6" s="15" t="s">
        <v>39</v>
      </c>
      <c r="E6" s="16">
        <v>80</v>
      </c>
      <c r="F6" s="17">
        <v>1400</v>
      </c>
      <c r="G6" s="2">
        <f t="shared" si="4"/>
        <v>112000</v>
      </c>
      <c r="H6" s="3">
        <v>1068</v>
      </c>
      <c r="I6" s="3">
        <v>244</v>
      </c>
      <c r="J6" s="13">
        <f t="shared" si="5"/>
        <v>1312</v>
      </c>
      <c r="K6" s="3">
        <f t="shared" si="6"/>
        <v>88</v>
      </c>
      <c r="L6" s="4">
        <f t="shared" si="7"/>
        <v>104960</v>
      </c>
      <c r="M6" s="4">
        <f t="shared" si="8"/>
        <v>7040</v>
      </c>
      <c r="N6" s="12" t="str">
        <f t="shared" si="9"/>
        <v>KEEP SELLING</v>
      </c>
      <c r="P6" s="10">
        <f>SUM(G46:G70)</f>
        <v>40560</v>
      </c>
      <c r="Q6" s="9">
        <f>SUM(L46:L70)</f>
        <v>34000</v>
      </c>
    </row>
    <row r="7" spans="1:23" ht="18" customHeight="1" x14ac:dyDescent="0.2">
      <c r="A7" s="15" t="s">
        <v>26</v>
      </c>
      <c r="B7" s="15" t="s">
        <v>32</v>
      </c>
      <c r="C7" s="15" t="s">
        <v>40</v>
      </c>
      <c r="D7" s="15" t="s">
        <v>40</v>
      </c>
      <c r="E7" s="16">
        <v>120</v>
      </c>
      <c r="F7" s="17">
        <v>0</v>
      </c>
      <c r="G7" s="2">
        <f t="shared" si="4"/>
        <v>0</v>
      </c>
      <c r="H7" s="3"/>
      <c r="I7" s="3"/>
      <c r="J7" s="13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</row>
    <row r="8" spans="1:23" ht="18" customHeight="1" x14ac:dyDescent="0.2">
      <c r="A8" s="15" t="s">
        <v>26</v>
      </c>
      <c r="B8" s="15" t="s">
        <v>32</v>
      </c>
      <c r="C8" s="15" t="s">
        <v>41</v>
      </c>
      <c r="D8" s="15" t="s">
        <v>41</v>
      </c>
      <c r="E8" s="16">
        <v>50</v>
      </c>
      <c r="F8" s="17">
        <v>299</v>
      </c>
      <c r="G8" s="2">
        <f t="shared" si="4"/>
        <v>14950</v>
      </c>
      <c r="H8" s="3">
        <v>290</v>
      </c>
      <c r="I8" s="3">
        <v>10</v>
      </c>
      <c r="J8" s="13">
        <f t="shared" si="5"/>
        <v>300</v>
      </c>
      <c r="K8" s="3">
        <f t="shared" si="6"/>
        <v>-1</v>
      </c>
      <c r="L8" s="4">
        <f t="shared" si="7"/>
        <v>15000</v>
      </c>
      <c r="M8" s="4">
        <f t="shared" si="8"/>
        <v>-50</v>
      </c>
      <c r="N8" s="12" t="str">
        <f t="shared" si="9"/>
        <v>DO NOT SELL</v>
      </c>
    </row>
    <row r="9" spans="1:23" ht="18" customHeight="1" x14ac:dyDescent="0.2">
      <c r="A9" s="15" t="s">
        <v>26</v>
      </c>
      <c r="B9" s="15" t="s">
        <v>32</v>
      </c>
      <c r="C9" s="15" t="s">
        <v>42</v>
      </c>
      <c r="D9" s="15" t="s">
        <v>42</v>
      </c>
      <c r="E9" s="16">
        <v>80</v>
      </c>
      <c r="F9" s="17">
        <v>700</v>
      </c>
      <c r="G9" s="2">
        <f>E9*F9</f>
        <v>56000</v>
      </c>
      <c r="H9" s="3">
        <v>592</v>
      </c>
      <c r="I9" s="3">
        <v>60</v>
      </c>
      <c r="J9" s="13">
        <f t="shared" si="5"/>
        <v>652</v>
      </c>
      <c r="K9" s="3">
        <f t="shared" si="6"/>
        <v>48</v>
      </c>
      <c r="L9" s="4">
        <f t="shared" si="7"/>
        <v>52160</v>
      </c>
      <c r="M9" s="4">
        <f t="shared" si="8"/>
        <v>3840</v>
      </c>
      <c r="N9" s="12" t="str">
        <f t="shared" si="9"/>
        <v>KEEP SELLING</v>
      </c>
    </row>
    <row r="10" spans="1:23" ht="18" customHeight="1" x14ac:dyDescent="0.2">
      <c r="A10" s="15" t="s">
        <v>26</v>
      </c>
      <c r="B10" s="15" t="s">
        <v>32</v>
      </c>
      <c r="C10" s="15" t="s">
        <v>43</v>
      </c>
      <c r="D10" s="15" t="s">
        <v>43</v>
      </c>
      <c r="E10" s="16">
        <v>120</v>
      </c>
      <c r="F10" s="17">
        <v>0</v>
      </c>
      <c r="G10" s="2">
        <f t="shared" si="4"/>
        <v>0</v>
      </c>
      <c r="H10" s="3"/>
      <c r="I10" s="3"/>
      <c r="J10" s="13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3" ht="18" customHeight="1" x14ac:dyDescent="0.2">
      <c r="A11" s="15" t="s">
        <v>26</v>
      </c>
      <c r="B11" s="15" t="s">
        <v>32</v>
      </c>
      <c r="C11" s="15" t="s">
        <v>44</v>
      </c>
      <c r="D11" s="15" t="s">
        <v>44</v>
      </c>
      <c r="E11" s="16">
        <v>50</v>
      </c>
      <c r="F11" s="17">
        <v>120</v>
      </c>
      <c r="G11" s="2">
        <f t="shared" si="4"/>
        <v>6000</v>
      </c>
      <c r="H11" s="3">
        <v>116</v>
      </c>
      <c r="I11" s="3"/>
      <c r="J11" s="13">
        <f t="shared" si="5"/>
        <v>116</v>
      </c>
      <c r="K11" s="3">
        <f t="shared" si="6"/>
        <v>4</v>
      </c>
      <c r="L11" s="4">
        <f t="shared" si="7"/>
        <v>5800</v>
      </c>
      <c r="M11" s="4">
        <f t="shared" si="8"/>
        <v>200</v>
      </c>
      <c r="N11" s="12" t="str">
        <f t="shared" si="9"/>
        <v>KEEP SELLING</v>
      </c>
    </row>
    <row r="12" spans="1:23" ht="18" customHeight="1" x14ac:dyDescent="0.2">
      <c r="A12" s="15" t="s">
        <v>26</v>
      </c>
      <c r="B12" s="15" t="s">
        <v>32</v>
      </c>
      <c r="C12" s="15" t="s">
        <v>45</v>
      </c>
      <c r="D12" s="15" t="s">
        <v>45</v>
      </c>
      <c r="E12" s="16">
        <v>80</v>
      </c>
      <c r="F12" s="17">
        <v>20</v>
      </c>
      <c r="G12" s="2">
        <f t="shared" si="4"/>
        <v>1600</v>
      </c>
      <c r="H12" s="3">
        <v>17</v>
      </c>
      <c r="I12" s="3"/>
      <c r="J12" s="13">
        <f t="shared" si="5"/>
        <v>17</v>
      </c>
      <c r="K12" s="3">
        <f t="shared" si="6"/>
        <v>3</v>
      </c>
      <c r="L12" s="4">
        <f t="shared" si="7"/>
        <v>1360</v>
      </c>
      <c r="M12" s="4">
        <f t="shared" si="8"/>
        <v>240</v>
      </c>
      <c r="N12" s="12" t="str">
        <f t="shared" si="9"/>
        <v>KEEP SELLING</v>
      </c>
    </row>
    <row r="13" spans="1:23" ht="18" customHeight="1" x14ac:dyDescent="0.2">
      <c r="A13" s="15" t="s">
        <v>26</v>
      </c>
      <c r="B13" s="15" t="s">
        <v>32</v>
      </c>
      <c r="C13" s="15" t="s">
        <v>46</v>
      </c>
      <c r="D13" s="15" t="s">
        <v>46</v>
      </c>
      <c r="E13" s="16">
        <v>120</v>
      </c>
      <c r="F13" s="17">
        <v>0</v>
      </c>
      <c r="G13" s="2">
        <f t="shared" ref="G13" si="10">E13*F13</f>
        <v>0</v>
      </c>
      <c r="H13" s="3"/>
      <c r="I13" s="3"/>
      <c r="J13" s="13">
        <f t="shared" ref="J13" si="11">H13+I13</f>
        <v>0</v>
      </c>
      <c r="K13" s="3">
        <f t="shared" ref="K13" si="12">F13-J13</f>
        <v>0</v>
      </c>
      <c r="L13" s="4">
        <f t="shared" ref="L13" si="13">J13*E13</f>
        <v>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3" ht="18" customHeight="1" x14ac:dyDescent="0.2">
      <c r="A14" s="15" t="s">
        <v>27</v>
      </c>
      <c r="B14" s="15" t="s">
        <v>33</v>
      </c>
      <c r="C14" s="15" t="s">
        <v>47</v>
      </c>
      <c r="D14" s="15" t="s">
        <v>47</v>
      </c>
      <c r="E14" s="16">
        <v>50</v>
      </c>
      <c r="F14" s="17">
        <v>60</v>
      </c>
      <c r="G14" s="2">
        <f t="shared" ref="G14:G21" si="16">E14*F14</f>
        <v>3000</v>
      </c>
      <c r="H14" s="3">
        <v>56</v>
      </c>
      <c r="I14" s="3"/>
      <c r="J14" s="13">
        <f t="shared" ref="J14:J21" si="17">H14+I14</f>
        <v>56</v>
      </c>
      <c r="K14" s="3">
        <f t="shared" ref="K14:K21" si="18">F14-J14</f>
        <v>4</v>
      </c>
      <c r="L14" s="4">
        <f t="shared" ref="L14:L21" si="19">J14*E14</f>
        <v>2800</v>
      </c>
      <c r="M14" s="4">
        <f t="shared" ref="M14:M21" si="20">G14-L14</f>
        <v>200</v>
      </c>
      <c r="N14" s="12" t="str">
        <f t="shared" ref="N14:N21" si="21">IF(M14&gt;0,"KEEP SELLING", "DO NOT SELL")</f>
        <v>KEEP SELLING</v>
      </c>
    </row>
    <row r="15" spans="1:23" ht="18" customHeight="1" x14ac:dyDescent="0.2">
      <c r="A15" s="15" t="s">
        <v>27</v>
      </c>
      <c r="B15" s="15" t="s">
        <v>33</v>
      </c>
      <c r="C15" s="15" t="s">
        <v>48</v>
      </c>
      <c r="D15" s="15" t="s">
        <v>48</v>
      </c>
      <c r="E15" s="16">
        <v>80</v>
      </c>
      <c r="F15" s="17">
        <v>70</v>
      </c>
      <c r="G15" s="2">
        <f t="shared" si="16"/>
        <v>5600</v>
      </c>
      <c r="H15" s="3">
        <v>50</v>
      </c>
      <c r="I15" s="3">
        <v>1</v>
      </c>
      <c r="J15" s="13">
        <f t="shared" si="17"/>
        <v>51</v>
      </c>
      <c r="K15" s="3">
        <f t="shared" si="18"/>
        <v>19</v>
      </c>
      <c r="L15" s="4">
        <f t="shared" si="19"/>
        <v>4080</v>
      </c>
      <c r="M15" s="4">
        <f t="shared" si="20"/>
        <v>1520</v>
      </c>
      <c r="N15" s="12" t="str">
        <f t="shared" si="21"/>
        <v>KEEP SELLING</v>
      </c>
    </row>
    <row r="16" spans="1:23" ht="18" customHeight="1" x14ac:dyDescent="0.2">
      <c r="A16" s="15" t="s">
        <v>27</v>
      </c>
      <c r="B16" s="15" t="s">
        <v>33</v>
      </c>
      <c r="C16" s="15" t="s">
        <v>49</v>
      </c>
      <c r="D16" s="15" t="s">
        <v>49</v>
      </c>
      <c r="E16" s="16">
        <v>50</v>
      </c>
      <c r="F16" s="17">
        <v>200</v>
      </c>
      <c r="G16" s="2">
        <f t="shared" si="16"/>
        <v>10000</v>
      </c>
      <c r="H16" s="3">
        <v>160</v>
      </c>
      <c r="I16" s="3">
        <v>16</v>
      </c>
      <c r="J16" s="13">
        <f t="shared" si="17"/>
        <v>176</v>
      </c>
      <c r="K16" s="3">
        <f t="shared" si="18"/>
        <v>24</v>
      </c>
      <c r="L16" s="4">
        <f t="shared" si="19"/>
        <v>8800</v>
      </c>
      <c r="M16" s="4">
        <f t="shared" si="20"/>
        <v>1200</v>
      </c>
      <c r="N16" s="12" t="str">
        <f t="shared" si="21"/>
        <v>KEEP SELLING</v>
      </c>
    </row>
    <row r="17" spans="1:14" ht="18" customHeight="1" x14ac:dyDescent="0.2">
      <c r="A17" s="15" t="s">
        <v>27</v>
      </c>
      <c r="B17" s="15" t="s">
        <v>33</v>
      </c>
      <c r="C17" s="15" t="s">
        <v>50</v>
      </c>
      <c r="D17" s="15" t="s">
        <v>50</v>
      </c>
      <c r="E17" s="16">
        <v>80</v>
      </c>
      <c r="F17" s="17">
        <v>70</v>
      </c>
      <c r="G17" s="2">
        <f t="shared" si="16"/>
        <v>5600</v>
      </c>
      <c r="H17" s="3">
        <v>69</v>
      </c>
      <c r="I17" s="3">
        <v>1</v>
      </c>
      <c r="J17" s="13">
        <f t="shared" si="17"/>
        <v>70</v>
      </c>
      <c r="K17" s="3">
        <f t="shared" si="18"/>
        <v>0</v>
      </c>
      <c r="L17" s="4">
        <f t="shared" si="19"/>
        <v>5600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5" t="s">
        <v>27</v>
      </c>
      <c r="B18" s="15" t="s">
        <v>33</v>
      </c>
      <c r="C18" s="15" t="s">
        <v>51</v>
      </c>
      <c r="D18" s="15" t="s">
        <v>51</v>
      </c>
      <c r="E18" s="16">
        <v>50</v>
      </c>
      <c r="F18" s="17">
        <v>70</v>
      </c>
      <c r="G18" s="2">
        <f t="shared" si="16"/>
        <v>3500</v>
      </c>
      <c r="H18" s="3">
        <v>68</v>
      </c>
      <c r="I18" s="3">
        <v>2</v>
      </c>
      <c r="J18" s="13">
        <f t="shared" si="17"/>
        <v>70</v>
      </c>
      <c r="K18" s="3">
        <f t="shared" si="18"/>
        <v>0</v>
      </c>
      <c r="L18" s="4">
        <f t="shared" si="19"/>
        <v>3500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5" t="s">
        <v>27</v>
      </c>
      <c r="B19" s="15" t="s">
        <v>33</v>
      </c>
      <c r="C19" s="15" t="s">
        <v>52</v>
      </c>
      <c r="D19" s="15" t="s">
        <v>52</v>
      </c>
      <c r="E19" s="16">
        <v>80</v>
      </c>
      <c r="F19" s="17">
        <v>110</v>
      </c>
      <c r="G19" s="2">
        <f t="shared" si="16"/>
        <v>8800</v>
      </c>
      <c r="H19" s="3">
        <v>60</v>
      </c>
      <c r="I19" s="3">
        <v>5</v>
      </c>
      <c r="J19" s="13">
        <f t="shared" si="17"/>
        <v>65</v>
      </c>
      <c r="K19" s="3">
        <f t="shared" si="18"/>
        <v>45</v>
      </c>
      <c r="L19" s="4">
        <f t="shared" si="19"/>
        <v>5200</v>
      </c>
      <c r="M19" s="4">
        <f t="shared" si="20"/>
        <v>3600</v>
      </c>
      <c r="N19" s="12" t="str">
        <f t="shared" si="21"/>
        <v>KEEP SELLING</v>
      </c>
    </row>
    <row r="20" spans="1:14" ht="18" customHeight="1" x14ac:dyDescent="0.2">
      <c r="A20" s="15" t="s">
        <v>27</v>
      </c>
      <c r="B20" s="15" t="s">
        <v>33</v>
      </c>
      <c r="C20" s="15" t="s">
        <v>53</v>
      </c>
      <c r="D20" s="15" t="s">
        <v>53</v>
      </c>
      <c r="E20" s="16">
        <v>50</v>
      </c>
      <c r="F20" s="17">
        <v>109</v>
      </c>
      <c r="G20" s="2">
        <f t="shared" si="16"/>
        <v>5450</v>
      </c>
      <c r="H20" s="3">
        <v>110</v>
      </c>
      <c r="I20" s="3"/>
      <c r="J20" s="13">
        <f t="shared" si="17"/>
        <v>110</v>
      </c>
      <c r="K20" s="3">
        <f t="shared" si="18"/>
        <v>-1</v>
      </c>
      <c r="L20" s="4">
        <f t="shared" si="19"/>
        <v>5500</v>
      </c>
      <c r="M20" s="4">
        <f t="shared" si="20"/>
        <v>-50</v>
      </c>
      <c r="N20" s="12" t="str">
        <f t="shared" si="21"/>
        <v>DO NOT SELL</v>
      </c>
    </row>
    <row r="21" spans="1:14" ht="18" customHeight="1" x14ac:dyDescent="0.2">
      <c r="A21" s="15" t="s">
        <v>27</v>
      </c>
      <c r="B21" s="15" t="s">
        <v>33</v>
      </c>
      <c r="C21" s="15" t="s">
        <v>54</v>
      </c>
      <c r="D21" s="15" t="s">
        <v>54</v>
      </c>
      <c r="E21" s="16">
        <v>80</v>
      </c>
      <c r="F21" s="17">
        <v>85</v>
      </c>
      <c r="G21" s="2">
        <f t="shared" si="16"/>
        <v>6800</v>
      </c>
      <c r="H21" s="3">
        <v>57</v>
      </c>
      <c r="I21" s="3"/>
      <c r="J21" s="13">
        <f t="shared" si="17"/>
        <v>57</v>
      </c>
      <c r="K21" s="3">
        <f t="shared" si="18"/>
        <v>28</v>
      </c>
      <c r="L21" s="4">
        <f t="shared" si="19"/>
        <v>4560</v>
      </c>
      <c r="M21" s="4">
        <f t="shared" si="20"/>
        <v>2240</v>
      </c>
      <c r="N21" s="12" t="str">
        <f t="shared" si="21"/>
        <v>KEEP SELLING</v>
      </c>
    </row>
    <row r="22" spans="1:14" ht="18" customHeight="1" x14ac:dyDescent="0.2">
      <c r="A22" s="15" t="s">
        <v>27</v>
      </c>
      <c r="B22" s="15" t="s">
        <v>33</v>
      </c>
      <c r="C22" s="15" t="s">
        <v>55</v>
      </c>
      <c r="D22" s="15" t="s">
        <v>55</v>
      </c>
      <c r="E22" s="16">
        <v>50</v>
      </c>
      <c r="F22" s="17">
        <v>149</v>
      </c>
      <c r="G22" s="2">
        <f t="shared" ref="G22:G34" si="22">E22*F22</f>
        <v>7450</v>
      </c>
      <c r="H22" s="3">
        <v>123</v>
      </c>
      <c r="I22" s="3">
        <v>25</v>
      </c>
      <c r="J22" s="13">
        <f t="shared" ref="J22:J34" si="23">H22+I22</f>
        <v>148</v>
      </c>
      <c r="K22" s="3">
        <f t="shared" ref="K22:K34" si="24">F22-J22</f>
        <v>1</v>
      </c>
      <c r="L22" s="4">
        <f t="shared" ref="L22:L34" si="25">J22*E22</f>
        <v>7400</v>
      </c>
      <c r="M22" s="4">
        <f t="shared" ref="M22:M34" si="26">G22-L22</f>
        <v>50</v>
      </c>
      <c r="N22" s="12" t="str">
        <f t="shared" ref="N22:N34" si="27">IF(M22&gt;0,"KEEP SELLING", "DO NOT SELL")</f>
        <v>KEEP SELLING</v>
      </c>
    </row>
    <row r="23" spans="1:14" ht="18" customHeight="1" x14ac:dyDescent="0.2">
      <c r="A23" s="15" t="s">
        <v>27</v>
      </c>
      <c r="B23" s="15" t="s">
        <v>33</v>
      </c>
      <c r="C23" s="15" t="s">
        <v>56</v>
      </c>
      <c r="D23" s="15" t="s">
        <v>56</v>
      </c>
      <c r="E23" s="16">
        <v>80</v>
      </c>
      <c r="F23" s="17">
        <v>150</v>
      </c>
      <c r="G23" s="2">
        <f t="shared" si="22"/>
        <v>12000</v>
      </c>
      <c r="H23" s="3">
        <v>55</v>
      </c>
      <c r="I23" s="3">
        <v>5</v>
      </c>
      <c r="J23" s="13">
        <f t="shared" si="23"/>
        <v>60</v>
      </c>
      <c r="K23" s="3">
        <f t="shared" si="24"/>
        <v>90</v>
      </c>
      <c r="L23" s="4">
        <f t="shared" si="25"/>
        <v>4800</v>
      </c>
      <c r="M23" s="4">
        <f t="shared" si="26"/>
        <v>7200</v>
      </c>
      <c r="N23" s="12" t="str">
        <f t="shared" si="27"/>
        <v>KEEP SELLING</v>
      </c>
    </row>
    <row r="24" spans="1:14" ht="18" customHeight="1" x14ac:dyDescent="0.2">
      <c r="A24" s="15" t="s">
        <v>27</v>
      </c>
      <c r="B24" s="15" t="s">
        <v>33</v>
      </c>
      <c r="C24" s="15" t="s">
        <v>57</v>
      </c>
      <c r="D24" s="15" t="s">
        <v>57</v>
      </c>
      <c r="E24" s="16">
        <v>50</v>
      </c>
      <c r="F24" s="17">
        <v>140</v>
      </c>
      <c r="G24" s="2">
        <f t="shared" si="22"/>
        <v>7000</v>
      </c>
      <c r="H24" s="3">
        <v>118</v>
      </c>
      <c r="I24" s="3">
        <v>22</v>
      </c>
      <c r="J24" s="13">
        <f t="shared" si="23"/>
        <v>140</v>
      </c>
      <c r="K24" s="3">
        <f t="shared" si="24"/>
        <v>0</v>
      </c>
      <c r="L24" s="4">
        <f t="shared" si="25"/>
        <v>7000</v>
      </c>
      <c r="M24" s="4">
        <f t="shared" si="26"/>
        <v>0</v>
      </c>
      <c r="N24" s="12" t="str">
        <f t="shared" si="27"/>
        <v>DO NOT SELL</v>
      </c>
    </row>
    <row r="25" spans="1:14" ht="18" customHeight="1" x14ac:dyDescent="0.2">
      <c r="A25" s="15" t="s">
        <v>27</v>
      </c>
      <c r="B25" s="15" t="s">
        <v>33</v>
      </c>
      <c r="C25" s="15" t="s">
        <v>58</v>
      </c>
      <c r="D25" s="15" t="s">
        <v>58</v>
      </c>
      <c r="E25" s="16">
        <v>80</v>
      </c>
      <c r="F25" s="17">
        <v>200</v>
      </c>
      <c r="G25" s="2">
        <f t="shared" si="22"/>
        <v>16000</v>
      </c>
      <c r="H25" s="3">
        <v>67</v>
      </c>
      <c r="I25" s="3">
        <v>4</v>
      </c>
      <c r="J25" s="13">
        <f t="shared" si="23"/>
        <v>71</v>
      </c>
      <c r="K25" s="3">
        <f t="shared" si="24"/>
        <v>129</v>
      </c>
      <c r="L25" s="4">
        <f t="shared" si="25"/>
        <v>5680</v>
      </c>
      <c r="M25" s="4">
        <f t="shared" si="26"/>
        <v>10320</v>
      </c>
      <c r="N25" s="12" t="str">
        <f t="shared" si="27"/>
        <v>KEEP SELLING</v>
      </c>
    </row>
    <row r="26" spans="1:14" ht="18" customHeight="1" x14ac:dyDescent="0.2">
      <c r="A26" s="15" t="s">
        <v>27</v>
      </c>
      <c r="B26" s="15" t="s">
        <v>33</v>
      </c>
      <c r="C26" s="15" t="s">
        <v>59</v>
      </c>
      <c r="D26" s="15" t="s">
        <v>59</v>
      </c>
      <c r="E26" s="16">
        <v>50</v>
      </c>
      <c r="F26" s="17">
        <v>0</v>
      </c>
      <c r="G26" s="2">
        <f t="shared" si="22"/>
        <v>0</v>
      </c>
      <c r="H26" s="3"/>
      <c r="I26" s="3"/>
      <c r="J26" s="13">
        <f t="shared" si="23"/>
        <v>0</v>
      </c>
      <c r="K26" s="3">
        <f t="shared" si="24"/>
        <v>0</v>
      </c>
      <c r="L26" s="4">
        <f t="shared" si="25"/>
        <v>0</v>
      </c>
      <c r="M26" s="4">
        <f t="shared" si="26"/>
        <v>0</v>
      </c>
      <c r="N26" s="12" t="str">
        <f t="shared" si="27"/>
        <v>DO NOT SELL</v>
      </c>
    </row>
    <row r="27" spans="1:14" ht="18" customHeight="1" x14ac:dyDescent="0.2">
      <c r="A27" s="15" t="s">
        <v>27</v>
      </c>
      <c r="B27" s="15" t="s">
        <v>33</v>
      </c>
      <c r="C27" s="15" t="s">
        <v>60</v>
      </c>
      <c r="D27" s="15" t="s">
        <v>60</v>
      </c>
      <c r="E27" s="16">
        <v>50</v>
      </c>
      <c r="F27" s="17">
        <v>100</v>
      </c>
      <c r="G27" s="2">
        <f t="shared" si="22"/>
        <v>5000</v>
      </c>
      <c r="H27" s="3">
        <v>82</v>
      </c>
      <c r="I27" s="3">
        <v>18</v>
      </c>
      <c r="J27" s="13">
        <f t="shared" si="23"/>
        <v>100</v>
      </c>
      <c r="K27" s="3">
        <f t="shared" si="24"/>
        <v>0</v>
      </c>
      <c r="L27" s="4">
        <f t="shared" si="25"/>
        <v>5000</v>
      </c>
      <c r="M27" s="4">
        <f t="shared" si="26"/>
        <v>0</v>
      </c>
      <c r="N27" s="12" t="str">
        <f t="shared" si="27"/>
        <v>DO NOT SELL</v>
      </c>
    </row>
    <row r="28" spans="1:14" ht="18" customHeight="1" x14ac:dyDescent="0.2">
      <c r="A28" s="15" t="s">
        <v>27</v>
      </c>
      <c r="B28" s="15" t="s">
        <v>33</v>
      </c>
      <c r="C28" s="15" t="s">
        <v>61</v>
      </c>
      <c r="D28" s="15" t="s">
        <v>61</v>
      </c>
      <c r="E28" s="16">
        <v>80</v>
      </c>
      <c r="F28" s="17"/>
      <c r="G28" s="2">
        <f t="shared" si="22"/>
        <v>0</v>
      </c>
      <c r="H28" s="3"/>
      <c r="I28" s="3"/>
      <c r="J28" s="13">
        <f t="shared" si="23"/>
        <v>0</v>
      </c>
      <c r="K28" s="3">
        <f t="shared" si="24"/>
        <v>0</v>
      </c>
      <c r="L28" s="4">
        <f t="shared" si="25"/>
        <v>0</v>
      </c>
      <c r="M28" s="4">
        <f t="shared" si="26"/>
        <v>0</v>
      </c>
      <c r="N28" s="12" t="str">
        <f t="shared" si="27"/>
        <v>DO NOT SELL</v>
      </c>
    </row>
    <row r="29" spans="1:14" ht="18" customHeight="1" x14ac:dyDescent="0.2">
      <c r="A29" s="15" t="s">
        <v>27</v>
      </c>
      <c r="B29" s="15" t="s">
        <v>33</v>
      </c>
      <c r="C29" s="15" t="s">
        <v>62</v>
      </c>
      <c r="D29" s="15" t="s">
        <v>62</v>
      </c>
      <c r="E29" s="16">
        <v>50</v>
      </c>
      <c r="F29" s="17">
        <v>50</v>
      </c>
      <c r="G29" s="2">
        <f t="shared" si="22"/>
        <v>2500</v>
      </c>
      <c r="H29" s="3">
        <v>47</v>
      </c>
      <c r="I29" s="3">
        <v>6</v>
      </c>
      <c r="J29" s="13">
        <f t="shared" si="23"/>
        <v>53</v>
      </c>
      <c r="K29" s="3">
        <f t="shared" si="24"/>
        <v>-3</v>
      </c>
      <c r="L29" s="4">
        <f t="shared" si="25"/>
        <v>2650</v>
      </c>
      <c r="M29" s="4">
        <f t="shared" si="26"/>
        <v>-150</v>
      </c>
      <c r="N29" s="12" t="str">
        <f t="shared" si="27"/>
        <v>DO NOT SELL</v>
      </c>
    </row>
    <row r="30" spans="1:14" ht="18" customHeight="1" x14ac:dyDescent="0.2">
      <c r="A30" s="15" t="s">
        <v>27</v>
      </c>
      <c r="B30" s="15" t="s">
        <v>33</v>
      </c>
      <c r="C30" s="15" t="s">
        <v>63</v>
      </c>
      <c r="D30" s="15" t="s">
        <v>63</v>
      </c>
      <c r="E30" s="16">
        <v>80</v>
      </c>
      <c r="F30" s="17">
        <v>100</v>
      </c>
      <c r="G30" s="2">
        <f t="shared" si="22"/>
        <v>8000</v>
      </c>
      <c r="H30" s="3">
        <v>57</v>
      </c>
      <c r="I30" s="3">
        <v>1</v>
      </c>
      <c r="J30" s="13">
        <f t="shared" si="23"/>
        <v>58</v>
      </c>
      <c r="K30" s="3">
        <f t="shared" si="24"/>
        <v>42</v>
      </c>
      <c r="L30" s="4">
        <f t="shared" si="25"/>
        <v>4640</v>
      </c>
      <c r="M30" s="4">
        <f t="shared" si="26"/>
        <v>3360</v>
      </c>
      <c r="N30" s="12" t="str">
        <f t="shared" si="27"/>
        <v>KEEP SELLING</v>
      </c>
    </row>
    <row r="31" spans="1:14" ht="18" customHeight="1" x14ac:dyDescent="0.2">
      <c r="A31" s="15" t="s">
        <v>28</v>
      </c>
      <c r="B31" s="15" t="s">
        <v>34</v>
      </c>
      <c r="C31" s="15" t="s">
        <v>82</v>
      </c>
      <c r="D31" s="15" t="s">
        <v>82</v>
      </c>
      <c r="E31" s="16">
        <v>25</v>
      </c>
      <c r="F31" s="17">
        <v>2460</v>
      </c>
      <c r="G31" s="2">
        <f t="shared" si="22"/>
        <v>61500</v>
      </c>
      <c r="H31" s="3">
        <v>2160</v>
      </c>
      <c r="I31" s="3">
        <v>32</v>
      </c>
      <c r="J31" s="13">
        <f t="shared" si="23"/>
        <v>2192</v>
      </c>
      <c r="K31" s="3">
        <f t="shared" si="24"/>
        <v>268</v>
      </c>
      <c r="L31" s="4">
        <f t="shared" si="25"/>
        <v>54800</v>
      </c>
      <c r="M31" s="4">
        <f t="shared" si="26"/>
        <v>6700</v>
      </c>
      <c r="N31" s="12" t="str">
        <f t="shared" si="27"/>
        <v>KEEP SELLING</v>
      </c>
    </row>
    <row r="32" spans="1:14" ht="18" customHeight="1" x14ac:dyDescent="0.2">
      <c r="A32" s="15" t="s">
        <v>28</v>
      </c>
      <c r="B32" s="15" t="s">
        <v>34</v>
      </c>
      <c r="C32" s="15" t="s">
        <v>83</v>
      </c>
      <c r="D32" s="15" t="s">
        <v>83</v>
      </c>
      <c r="E32" s="16">
        <v>20</v>
      </c>
      <c r="F32" s="17">
        <v>803</v>
      </c>
      <c r="G32" s="2">
        <f t="shared" si="22"/>
        <v>16060</v>
      </c>
      <c r="H32" s="3">
        <v>754</v>
      </c>
      <c r="I32" s="3">
        <v>46</v>
      </c>
      <c r="J32" s="13">
        <f t="shared" si="23"/>
        <v>800</v>
      </c>
      <c r="K32" s="3">
        <f t="shared" si="24"/>
        <v>3</v>
      </c>
      <c r="L32" s="4">
        <f t="shared" si="25"/>
        <v>16000</v>
      </c>
      <c r="M32" s="4">
        <f t="shared" si="26"/>
        <v>60</v>
      </c>
      <c r="N32" s="12" t="str">
        <f t="shared" si="27"/>
        <v>KEEP SELLING</v>
      </c>
    </row>
    <row r="33" spans="1:14" ht="18" customHeight="1" x14ac:dyDescent="0.2">
      <c r="A33" s="15" t="s">
        <v>28</v>
      </c>
      <c r="B33" s="15" t="s">
        <v>34</v>
      </c>
      <c r="C33" s="15" t="s">
        <v>13</v>
      </c>
      <c r="D33" s="15" t="s">
        <v>13</v>
      </c>
      <c r="E33" s="16">
        <v>54</v>
      </c>
      <c r="F33" s="17">
        <v>99</v>
      </c>
      <c r="G33" s="2">
        <f t="shared" si="22"/>
        <v>5346</v>
      </c>
      <c r="H33" s="3">
        <v>193</v>
      </c>
      <c r="I33" s="3">
        <v>220</v>
      </c>
      <c r="J33" s="13">
        <f t="shared" si="23"/>
        <v>413</v>
      </c>
      <c r="K33" s="3">
        <f t="shared" si="24"/>
        <v>-314</v>
      </c>
      <c r="L33" s="4">
        <f t="shared" si="25"/>
        <v>22302</v>
      </c>
      <c r="M33" s="4">
        <f t="shared" si="26"/>
        <v>-16956</v>
      </c>
      <c r="N33" s="12" t="str">
        <f t="shared" si="27"/>
        <v>DO NOT SELL</v>
      </c>
    </row>
    <row r="34" spans="1:14" ht="18" customHeight="1" x14ac:dyDescent="0.2">
      <c r="A34" s="15" t="s">
        <v>28</v>
      </c>
      <c r="B34" s="15" t="s">
        <v>34</v>
      </c>
      <c r="C34" s="15" t="s">
        <v>84</v>
      </c>
      <c r="D34" s="15" t="s">
        <v>84</v>
      </c>
      <c r="E34" s="16">
        <v>87</v>
      </c>
      <c r="F34" s="17">
        <v>74</v>
      </c>
      <c r="G34" s="2">
        <f t="shared" si="22"/>
        <v>6438</v>
      </c>
      <c r="H34" s="3">
        <v>96</v>
      </c>
      <c r="I34" s="3">
        <v>103</v>
      </c>
      <c r="J34" s="13">
        <f t="shared" si="23"/>
        <v>199</v>
      </c>
      <c r="K34" s="3">
        <f t="shared" si="24"/>
        <v>-125</v>
      </c>
      <c r="L34" s="4">
        <f t="shared" si="25"/>
        <v>17313</v>
      </c>
      <c r="M34" s="4">
        <f t="shared" si="26"/>
        <v>-10875</v>
      </c>
      <c r="N34" s="12" t="str">
        <f t="shared" si="27"/>
        <v>DO NOT SELL</v>
      </c>
    </row>
    <row r="35" spans="1:14" ht="18" customHeight="1" x14ac:dyDescent="0.2">
      <c r="A35" s="15" t="s">
        <v>29</v>
      </c>
      <c r="B35" s="15" t="s">
        <v>35</v>
      </c>
      <c r="C35" s="15" t="s">
        <v>17</v>
      </c>
      <c r="D35" s="15" t="s">
        <v>17</v>
      </c>
      <c r="E35" s="16">
        <v>5</v>
      </c>
      <c r="F35" s="17">
        <v>3300</v>
      </c>
      <c r="G35" s="2">
        <f t="shared" ref="G35" si="28">E35*F35</f>
        <v>16500</v>
      </c>
      <c r="H35" s="3">
        <v>2100</v>
      </c>
      <c r="I35" s="3">
        <v>1200</v>
      </c>
      <c r="J35" s="13">
        <f t="shared" ref="J35" si="29">H35+I35</f>
        <v>3300</v>
      </c>
      <c r="K35" s="3">
        <f t="shared" ref="K35" si="30">F35-J35</f>
        <v>0</v>
      </c>
      <c r="L35" s="4">
        <f t="shared" ref="L35" si="31">J35*E35</f>
        <v>16500</v>
      </c>
      <c r="M35" s="4">
        <f t="shared" ref="M35" si="32">G35-L35</f>
        <v>0</v>
      </c>
      <c r="N35" s="12" t="str">
        <f t="shared" ref="N35" si="33">IF(M35&gt;0,"KEEP SELLING", "DO NOT SELL")</f>
        <v>DO NOT SELL</v>
      </c>
    </row>
    <row r="36" spans="1:14" ht="18" customHeight="1" x14ac:dyDescent="0.2">
      <c r="A36" s="15" t="s">
        <v>29</v>
      </c>
      <c r="B36" s="15" t="s">
        <v>35</v>
      </c>
      <c r="C36" s="15" t="s">
        <v>18</v>
      </c>
      <c r="D36" s="15" t="s">
        <v>18</v>
      </c>
      <c r="E36" s="16">
        <v>5</v>
      </c>
      <c r="F36" s="17">
        <v>2100</v>
      </c>
      <c r="G36" s="2">
        <f t="shared" ref="G36:G44" si="34">E36*F36</f>
        <v>10500</v>
      </c>
      <c r="H36" s="3">
        <v>1300</v>
      </c>
      <c r="I36" s="3">
        <v>800</v>
      </c>
      <c r="J36" s="13">
        <f t="shared" ref="J36:J44" si="35">H36+I36</f>
        <v>2100</v>
      </c>
      <c r="K36" s="3">
        <f t="shared" ref="K36:K44" si="36">F36-J36</f>
        <v>0</v>
      </c>
      <c r="L36" s="4">
        <f t="shared" ref="L36:L44" si="37">J36*E36</f>
        <v>10500</v>
      </c>
      <c r="M36" s="4">
        <f t="shared" ref="M36:M44" si="38">G36-L36</f>
        <v>0</v>
      </c>
      <c r="N36" s="12" t="str">
        <f t="shared" ref="N36:N44" si="39">IF(M36&gt;0,"KEEP SELLING", "DO NOT SELL")</f>
        <v>DO NOT SELL</v>
      </c>
    </row>
    <row r="37" spans="1:14" ht="18" customHeight="1" x14ac:dyDescent="0.2">
      <c r="A37" s="15" t="s">
        <v>29</v>
      </c>
      <c r="B37" s="15" t="s">
        <v>35</v>
      </c>
      <c r="C37" s="15" t="s">
        <v>19</v>
      </c>
      <c r="D37" s="15" t="s">
        <v>19</v>
      </c>
      <c r="E37" s="16">
        <v>2</v>
      </c>
      <c r="F37" s="17">
        <v>1860</v>
      </c>
      <c r="G37" s="2">
        <f t="shared" si="34"/>
        <v>3720</v>
      </c>
      <c r="H37" s="3">
        <v>860</v>
      </c>
      <c r="I37" s="3">
        <v>400</v>
      </c>
      <c r="J37" s="13">
        <f t="shared" si="35"/>
        <v>1260</v>
      </c>
      <c r="K37" s="3">
        <f t="shared" si="36"/>
        <v>600</v>
      </c>
      <c r="L37" s="4">
        <f t="shared" si="37"/>
        <v>2520</v>
      </c>
      <c r="M37" s="4">
        <f t="shared" si="38"/>
        <v>1200</v>
      </c>
      <c r="N37" s="12" t="str">
        <f t="shared" si="39"/>
        <v>KEEP SELLING</v>
      </c>
    </row>
    <row r="38" spans="1:14" ht="18" customHeight="1" x14ac:dyDescent="0.2">
      <c r="A38" s="15" t="s">
        <v>29</v>
      </c>
      <c r="B38" s="15" t="s">
        <v>35</v>
      </c>
      <c r="C38" s="15" t="s">
        <v>20</v>
      </c>
      <c r="D38" s="15" t="s">
        <v>20</v>
      </c>
      <c r="E38" s="16">
        <v>5</v>
      </c>
      <c r="F38" s="17">
        <v>320</v>
      </c>
      <c r="G38" s="2">
        <f t="shared" si="34"/>
        <v>1600</v>
      </c>
      <c r="H38" s="3">
        <v>90</v>
      </c>
      <c r="I38" s="3"/>
      <c r="J38" s="13">
        <f t="shared" si="35"/>
        <v>90</v>
      </c>
      <c r="K38" s="3">
        <f t="shared" si="36"/>
        <v>230</v>
      </c>
      <c r="L38" s="4">
        <f t="shared" si="37"/>
        <v>450</v>
      </c>
      <c r="M38" s="4">
        <f t="shared" si="38"/>
        <v>1150</v>
      </c>
      <c r="N38" s="12" t="str">
        <f t="shared" si="39"/>
        <v>KEEP SELLING</v>
      </c>
    </row>
    <row r="39" spans="1:14" ht="18" customHeight="1" x14ac:dyDescent="0.2">
      <c r="A39" s="15" t="s">
        <v>29</v>
      </c>
      <c r="B39" s="15" t="s">
        <v>35</v>
      </c>
      <c r="C39" s="15" t="s">
        <v>85</v>
      </c>
      <c r="D39" s="15" t="s">
        <v>85</v>
      </c>
      <c r="E39" s="16">
        <v>5</v>
      </c>
      <c r="F39" s="17">
        <v>220</v>
      </c>
      <c r="G39" s="2">
        <f t="shared" si="34"/>
        <v>1100</v>
      </c>
      <c r="H39" s="3">
        <v>120</v>
      </c>
      <c r="I39" s="3"/>
      <c r="J39" s="13">
        <f t="shared" si="35"/>
        <v>120</v>
      </c>
      <c r="K39" s="3">
        <f t="shared" si="36"/>
        <v>100</v>
      </c>
      <c r="L39" s="4">
        <f t="shared" si="37"/>
        <v>600</v>
      </c>
      <c r="M39" s="4">
        <f t="shared" si="38"/>
        <v>500</v>
      </c>
      <c r="N39" s="12" t="str">
        <f t="shared" si="39"/>
        <v>KEEP SELLING</v>
      </c>
    </row>
    <row r="40" spans="1:14" ht="18" customHeight="1" x14ac:dyDescent="0.2">
      <c r="A40" s="15" t="s">
        <v>29</v>
      </c>
      <c r="B40" s="15" t="s">
        <v>35</v>
      </c>
      <c r="C40" s="15" t="s">
        <v>86</v>
      </c>
      <c r="D40" s="15" t="s">
        <v>86</v>
      </c>
      <c r="E40" s="16">
        <v>5</v>
      </c>
      <c r="F40" s="17">
        <v>265</v>
      </c>
      <c r="G40" s="2">
        <f t="shared" si="34"/>
        <v>1325</v>
      </c>
      <c r="H40" s="3">
        <v>245</v>
      </c>
      <c r="I40" s="3"/>
      <c r="J40" s="13">
        <f t="shared" si="35"/>
        <v>245</v>
      </c>
      <c r="K40" s="3">
        <f t="shared" si="36"/>
        <v>20</v>
      </c>
      <c r="L40" s="4">
        <f t="shared" si="37"/>
        <v>1225</v>
      </c>
      <c r="M40" s="4">
        <f t="shared" si="38"/>
        <v>100</v>
      </c>
      <c r="N40" s="12" t="str">
        <f t="shared" si="39"/>
        <v>KEEP SELLING</v>
      </c>
    </row>
    <row r="41" spans="1:14" ht="18" customHeight="1" x14ac:dyDescent="0.2">
      <c r="A41" s="15" t="s">
        <v>29</v>
      </c>
      <c r="B41" s="15" t="s">
        <v>35</v>
      </c>
      <c r="C41" s="15" t="s">
        <v>87</v>
      </c>
      <c r="D41" s="15" t="s">
        <v>87</v>
      </c>
      <c r="E41" s="16">
        <v>5</v>
      </c>
      <c r="F41" s="17">
        <v>0</v>
      </c>
      <c r="G41" s="2">
        <f t="shared" si="34"/>
        <v>0</v>
      </c>
      <c r="H41" s="3"/>
      <c r="I41" s="3"/>
      <c r="J41" s="13">
        <f t="shared" si="35"/>
        <v>0</v>
      </c>
      <c r="K41" s="3">
        <f t="shared" si="36"/>
        <v>0</v>
      </c>
      <c r="L41" s="4">
        <f t="shared" si="37"/>
        <v>0</v>
      </c>
      <c r="M41" s="4">
        <f t="shared" si="38"/>
        <v>0</v>
      </c>
      <c r="N41" s="12" t="str">
        <f t="shared" si="39"/>
        <v>DO NOT SELL</v>
      </c>
    </row>
    <row r="42" spans="1:14" ht="18" customHeight="1" x14ac:dyDescent="0.2">
      <c r="A42" s="15" t="s">
        <v>29</v>
      </c>
      <c r="B42" s="15" t="s">
        <v>35</v>
      </c>
      <c r="C42" s="15" t="s">
        <v>21</v>
      </c>
      <c r="D42" s="15" t="s">
        <v>21</v>
      </c>
      <c r="E42" s="16">
        <v>30</v>
      </c>
      <c r="F42" s="17">
        <v>0</v>
      </c>
      <c r="G42" s="2">
        <f t="shared" si="34"/>
        <v>0</v>
      </c>
      <c r="H42" s="3"/>
      <c r="I42" s="3"/>
      <c r="J42" s="13">
        <f t="shared" si="35"/>
        <v>0</v>
      </c>
      <c r="K42" s="3">
        <f t="shared" si="36"/>
        <v>0</v>
      </c>
      <c r="L42" s="4">
        <f t="shared" si="37"/>
        <v>0</v>
      </c>
      <c r="M42" s="4">
        <f t="shared" si="38"/>
        <v>0</v>
      </c>
      <c r="N42" s="12" t="str">
        <f t="shared" si="39"/>
        <v>DO NOT SELL</v>
      </c>
    </row>
    <row r="43" spans="1:14" ht="18" customHeight="1" x14ac:dyDescent="0.2">
      <c r="A43" s="15" t="s">
        <v>29</v>
      </c>
      <c r="B43" s="15" t="s">
        <v>35</v>
      </c>
      <c r="C43" s="15" t="s">
        <v>22</v>
      </c>
      <c r="D43" s="15" t="s">
        <v>22</v>
      </c>
      <c r="E43" s="16">
        <v>30</v>
      </c>
      <c r="F43" s="17">
        <v>20</v>
      </c>
      <c r="G43" s="2">
        <f t="shared" si="34"/>
        <v>600</v>
      </c>
      <c r="H43" s="3"/>
      <c r="I43" s="3"/>
      <c r="J43" s="13">
        <f t="shared" si="35"/>
        <v>0</v>
      </c>
      <c r="K43" s="3">
        <f t="shared" si="36"/>
        <v>20</v>
      </c>
      <c r="L43" s="4">
        <f t="shared" si="37"/>
        <v>0</v>
      </c>
      <c r="M43" s="4">
        <f t="shared" si="38"/>
        <v>600</v>
      </c>
      <c r="N43" s="12" t="str">
        <f t="shared" si="39"/>
        <v>KEEP SELLING</v>
      </c>
    </row>
    <row r="44" spans="1:14" ht="18" customHeight="1" x14ac:dyDescent="0.2">
      <c r="A44" s="15" t="s">
        <v>29</v>
      </c>
      <c r="B44" s="15" t="s">
        <v>35</v>
      </c>
      <c r="C44" s="15" t="s">
        <v>88</v>
      </c>
      <c r="D44" s="15" t="s">
        <v>88</v>
      </c>
      <c r="E44" s="16">
        <v>80</v>
      </c>
      <c r="F44" s="17">
        <v>79</v>
      </c>
      <c r="G44" s="2">
        <f t="shared" si="34"/>
        <v>6320</v>
      </c>
      <c r="H44" s="3">
        <v>73</v>
      </c>
      <c r="I44" s="3"/>
      <c r="J44" s="13">
        <f t="shared" si="35"/>
        <v>73</v>
      </c>
      <c r="K44" s="3">
        <f t="shared" si="36"/>
        <v>6</v>
      </c>
      <c r="L44" s="4">
        <f t="shared" si="37"/>
        <v>5840</v>
      </c>
      <c r="M44" s="4">
        <f t="shared" si="38"/>
        <v>480</v>
      </c>
      <c r="N44" s="12" t="str">
        <f t="shared" si="39"/>
        <v>KEEP SELLING</v>
      </c>
    </row>
    <row r="45" spans="1:14" ht="18" customHeight="1" x14ac:dyDescent="0.2">
      <c r="A45" s="15" t="s">
        <v>30</v>
      </c>
      <c r="B45" s="15" t="s">
        <v>36</v>
      </c>
      <c r="C45" s="15" t="s">
        <v>89</v>
      </c>
      <c r="D45" s="15" t="s">
        <v>89</v>
      </c>
      <c r="E45" s="16">
        <v>70</v>
      </c>
      <c r="F45" s="17">
        <v>341</v>
      </c>
      <c r="G45" s="2">
        <f t="shared" ref="G45" si="40">E45*F45</f>
        <v>23870</v>
      </c>
      <c r="H45" s="3">
        <v>61</v>
      </c>
      <c r="I45" s="3"/>
      <c r="J45" s="13">
        <f t="shared" ref="J45" si="41">H45+I45</f>
        <v>61</v>
      </c>
      <c r="K45" s="3">
        <f t="shared" ref="K45" si="42">F45-J45</f>
        <v>280</v>
      </c>
      <c r="L45" s="4">
        <f t="shared" ref="L45" si="43">J45*E45</f>
        <v>4270</v>
      </c>
      <c r="M45" s="4">
        <f t="shared" ref="M45" si="44">G45-L45</f>
        <v>19600</v>
      </c>
      <c r="N45" s="12" t="str">
        <f t="shared" ref="N45" si="45">IF(M45&gt;0,"KEEP SELLING", "DO NOT SELL")</f>
        <v>KEEP SELLING</v>
      </c>
    </row>
    <row r="46" spans="1:14" ht="18" customHeight="1" x14ac:dyDescent="0.2">
      <c r="A46" s="15" t="s">
        <v>31</v>
      </c>
      <c r="B46" s="15" t="s">
        <v>37</v>
      </c>
      <c r="C46" s="15" t="s">
        <v>17</v>
      </c>
      <c r="D46" s="15" t="s">
        <v>17</v>
      </c>
      <c r="E46" s="16">
        <v>5</v>
      </c>
      <c r="F46" s="17">
        <v>120</v>
      </c>
      <c r="G46" s="2">
        <f t="shared" ref="G46" si="46">E46*F46</f>
        <v>600</v>
      </c>
      <c r="H46" s="3"/>
      <c r="I46" s="3"/>
      <c r="J46" s="13">
        <f t="shared" ref="J46" si="47">H46+I46</f>
        <v>0</v>
      </c>
      <c r="K46" s="3">
        <f t="shared" ref="K46" si="48">F46-J46</f>
        <v>120</v>
      </c>
      <c r="L46" s="4">
        <f t="shared" ref="L46" si="49">J46*E46</f>
        <v>0</v>
      </c>
      <c r="M46" s="4">
        <f t="shared" ref="M46" si="50">G46-L46</f>
        <v>600</v>
      </c>
      <c r="N46" s="12" t="str">
        <f t="shared" ref="N46" si="51">IF(M46&gt;0,"KEEP SELLING", "DO NOT SELL")</f>
        <v>KEEP SELLING</v>
      </c>
    </row>
    <row r="47" spans="1:14" ht="18" customHeight="1" x14ac:dyDescent="0.2">
      <c r="A47" s="15" t="s">
        <v>31</v>
      </c>
      <c r="B47" s="15" t="s">
        <v>37</v>
      </c>
      <c r="C47" s="15" t="s">
        <v>18</v>
      </c>
      <c r="D47" s="15" t="s">
        <v>18</v>
      </c>
      <c r="E47" s="16">
        <v>5</v>
      </c>
      <c r="F47" s="17">
        <v>0</v>
      </c>
      <c r="G47" s="2">
        <f t="shared" ref="G47:G70" si="52">E47*F47</f>
        <v>0</v>
      </c>
      <c r="H47" s="3"/>
      <c r="I47" s="3"/>
      <c r="J47" s="13">
        <f t="shared" ref="J47:J58" si="53">H47+I47</f>
        <v>0</v>
      </c>
      <c r="K47" s="3">
        <f t="shared" ref="K47:K58" si="54">F47-J47</f>
        <v>0</v>
      </c>
      <c r="L47" s="4">
        <f t="shared" ref="L47:L58" si="55">J47*E47</f>
        <v>0</v>
      </c>
      <c r="M47" s="4">
        <f t="shared" ref="M47:M58" si="56">G47-L47</f>
        <v>0</v>
      </c>
      <c r="N47" s="12" t="str">
        <f t="shared" ref="N47:N58" si="57">IF(M47&gt;0,"KEEP SELLING", "DO NOT SELL")</f>
        <v>DO NOT SELL</v>
      </c>
    </row>
    <row r="48" spans="1:14" ht="18" customHeight="1" x14ac:dyDescent="0.2">
      <c r="A48" s="15" t="s">
        <v>31</v>
      </c>
      <c r="B48" s="15" t="s">
        <v>37</v>
      </c>
      <c r="C48" s="15" t="s">
        <v>19</v>
      </c>
      <c r="D48" s="15" t="s">
        <v>19</v>
      </c>
      <c r="E48" s="16">
        <v>2</v>
      </c>
      <c r="F48" s="17">
        <v>500</v>
      </c>
      <c r="G48" s="2">
        <f t="shared" si="52"/>
        <v>1000</v>
      </c>
      <c r="H48" s="3">
        <v>520</v>
      </c>
      <c r="I48" s="3"/>
      <c r="J48" s="13">
        <f t="shared" si="53"/>
        <v>520</v>
      </c>
      <c r="K48" s="3">
        <f t="shared" si="54"/>
        <v>-20</v>
      </c>
      <c r="L48" s="4">
        <f t="shared" si="55"/>
        <v>1040</v>
      </c>
      <c r="M48" s="4">
        <f t="shared" si="56"/>
        <v>-40</v>
      </c>
      <c r="N48" s="12" t="str">
        <f t="shared" si="57"/>
        <v>DO NOT SELL</v>
      </c>
    </row>
    <row r="49" spans="1:14" ht="18" customHeight="1" x14ac:dyDescent="0.2">
      <c r="A49" s="15" t="s">
        <v>31</v>
      </c>
      <c r="B49" s="15" t="s">
        <v>37</v>
      </c>
      <c r="C49" s="15" t="s">
        <v>20</v>
      </c>
      <c r="D49" s="15" t="s">
        <v>20</v>
      </c>
      <c r="E49" s="16">
        <v>5</v>
      </c>
      <c r="F49" s="17">
        <v>120</v>
      </c>
      <c r="G49" s="2">
        <f t="shared" si="52"/>
        <v>600</v>
      </c>
      <c r="H49" s="3">
        <v>120</v>
      </c>
      <c r="I49" s="3"/>
      <c r="J49" s="13">
        <f t="shared" si="53"/>
        <v>120</v>
      </c>
      <c r="K49" s="3">
        <f t="shared" si="54"/>
        <v>0</v>
      </c>
      <c r="L49" s="4">
        <f t="shared" si="55"/>
        <v>600</v>
      </c>
      <c r="M49" s="4">
        <f t="shared" si="56"/>
        <v>0</v>
      </c>
      <c r="N49" s="12" t="str">
        <f t="shared" si="57"/>
        <v>DO NOT SELL</v>
      </c>
    </row>
    <row r="50" spans="1:14" ht="18" customHeight="1" x14ac:dyDescent="0.2">
      <c r="A50" s="15" t="s">
        <v>31</v>
      </c>
      <c r="B50" s="15" t="s">
        <v>37</v>
      </c>
      <c r="C50" s="15" t="s">
        <v>90</v>
      </c>
      <c r="D50" s="15" t="s">
        <v>90</v>
      </c>
      <c r="E50" s="16">
        <v>4</v>
      </c>
      <c r="F50" s="17">
        <v>0</v>
      </c>
      <c r="G50" s="2">
        <f t="shared" si="52"/>
        <v>0</v>
      </c>
      <c r="H50" s="3"/>
      <c r="I50" s="3"/>
      <c r="J50" s="13">
        <f t="shared" si="53"/>
        <v>0</v>
      </c>
      <c r="K50" s="3">
        <f t="shared" si="54"/>
        <v>0</v>
      </c>
      <c r="L50" s="4">
        <f t="shared" si="55"/>
        <v>0</v>
      </c>
      <c r="M50" s="4">
        <f t="shared" si="56"/>
        <v>0</v>
      </c>
      <c r="N50" s="12" t="str">
        <f t="shared" si="57"/>
        <v>DO NOT SELL</v>
      </c>
    </row>
    <row r="51" spans="1:14" ht="18" customHeight="1" x14ac:dyDescent="0.2">
      <c r="A51" s="15" t="s">
        <v>31</v>
      </c>
      <c r="B51" s="15" t="s">
        <v>37</v>
      </c>
      <c r="C51" s="15" t="s">
        <v>88</v>
      </c>
      <c r="D51" s="15" t="s">
        <v>88</v>
      </c>
      <c r="E51" s="16">
        <v>80</v>
      </c>
      <c r="F51" s="17">
        <v>467</v>
      </c>
      <c r="G51" s="2">
        <f t="shared" si="52"/>
        <v>37360</v>
      </c>
      <c r="H51" s="3">
        <v>392</v>
      </c>
      <c r="I51" s="3"/>
      <c r="J51" s="13">
        <f t="shared" si="53"/>
        <v>392</v>
      </c>
      <c r="K51" s="3">
        <f t="shared" si="54"/>
        <v>75</v>
      </c>
      <c r="L51" s="4">
        <f t="shared" si="55"/>
        <v>31360</v>
      </c>
      <c r="M51" s="4">
        <f t="shared" si="56"/>
        <v>6000</v>
      </c>
      <c r="N51" s="12" t="str">
        <f t="shared" si="57"/>
        <v>KEEP SELLING</v>
      </c>
    </row>
    <row r="52" spans="1:14" ht="18" customHeight="1" x14ac:dyDescent="0.2">
      <c r="A52" s="15" t="s">
        <v>31</v>
      </c>
      <c r="B52" s="15" t="s">
        <v>37</v>
      </c>
      <c r="C52" s="15" t="s">
        <v>91</v>
      </c>
      <c r="D52" s="15" t="s">
        <v>91</v>
      </c>
      <c r="E52" s="16">
        <v>10</v>
      </c>
      <c r="F52" s="17">
        <v>0</v>
      </c>
      <c r="G52" s="2">
        <f t="shared" si="52"/>
        <v>0</v>
      </c>
      <c r="H52" s="3"/>
      <c r="I52" s="3"/>
      <c r="J52" s="13">
        <f t="shared" si="53"/>
        <v>0</v>
      </c>
      <c r="K52" s="3">
        <f t="shared" si="54"/>
        <v>0</v>
      </c>
      <c r="L52" s="4">
        <f t="shared" si="55"/>
        <v>0</v>
      </c>
      <c r="M52" s="4">
        <f t="shared" si="56"/>
        <v>0</v>
      </c>
      <c r="N52" s="12" t="str">
        <f t="shared" si="57"/>
        <v>DO NOT SELL</v>
      </c>
    </row>
    <row r="53" spans="1:14" ht="18" customHeight="1" x14ac:dyDescent="0.2">
      <c r="A53" s="15" t="s">
        <v>31</v>
      </c>
      <c r="B53" s="15" t="s">
        <v>37</v>
      </c>
      <c r="C53" s="15" t="s">
        <v>64</v>
      </c>
      <c r="D53" s="15" t="s">
        <v>64</v>
      </c>
      <c r="E53" s="16">
        <v>10</v>
      </c>
      <c r="F53" s="17">
        <v>0</v>
      </c>
      <c r="G53" s="2">
        <f t="shared" si="52"/>
        <v>0</v>
      </c>
      <c r="H53" s="3"/>
      <c r="I53" s="3"/>
      <c r="J53" s="13">
        <f t="shared" si="53"/>
        <v>0</v>
      </c>
      <c r="K53" s="3">
        <f t="shared" si="54"/>
        <v>0</v>
      </c>
      <c r="L53" s="4">
        <f t="shared" si="55"/>
        <v>0</v>
      </c>
      <c r="M53" s="4">
        <f t="shared" si="56"/>
        <v>0</v>
      </c>
      <c r="N53" s="12" t="str">
        <f t="shared" si="57"/>
        <v>DO NOT SELL</v>
      </c>
    </row>
    <row r="54" spans="1:14" ht="18" customHeight="1" x14ac:dyDescent="0.2">
      <c r="A54" s="15" t="s">
        <v>31</v>
      </c>
      <c r="B54" s="15" t="s">
        <v>37</v>
      </c>
      <c r="C54" s="15" t="s">
        <v>65</v>
      </c>
      <c r="D54" s="15" t="s">
        <v>65</v>
      </c>
      <c r="E54" s="16">
        <v>10</v>
      </c>
      <c r="F54" s="17">
        <v>0</v>
      </c>
      <c r="G54" s="2">
        <f t="shared" si="52"/>
        <v>0</v>
      </c>
      <c r="H54" s="3"/>
      <c r="I54" s="3"/>
      <c r="J54" s="13">
        <f t="shared" si="53"/>
        <v>0</v>
      </c>
      <c r="K54" s="3">
        <f t="shared" si="54"/>
        <v>0</v>
      </c>
      <c r="L54" s="4">
        <f t="shared" si="55"/>
        <v>0</v>
      </c>
      <c r="M54" s="4">
        <f t="shared" si="56"/>
        <v>0</v>
      </c>
      <c r="N54" s="12" t="str">
        <f t="shared" si="57"/>
        <v>DO NOT SELL</v>
      </c>
    </row>
    <row r="55" spans="1:14" ht="18" customHeight="1" x14ac:dyDescent="0.2">
      <c r="A55" s="15" t="s">
        <v>31</v>
      </c>
      <c r="B55" s="15" t="s">
        <v>37</v>
      </c>
      <c r="C55" s="15" t="s">
        <v>66</v>
      </c>
      <c r="D55" s="15" t="s">
        <v>66</v>
      </c>
      <c r="E55" s="16">
        <v>10</v>
      </c>
      <c r="F55" s="17">
        <v>0</v>
      </c>
      <c r="G55" s="2">
        <f t="shared" si="52"/>
        <v>0</v>
      </c>
      <c r="H55" s="3"/>
      <c r="I55" s="3"/>
      <c r="J55" s="13">
        <f t="shared" si="53"/>
        <v>0</v>
      </c>
      <c r="K55" s="3">
        <f t="shared" si="54"/>
        <v>0</v>
      </c>
      <c r="L55" s="4">
        <f t="shared" si="55"/>
        <v>0</v>
      </c>
      <c r="M55" s="4">
        <f t="shared" si="56"/>
        <v>0</v>
      </c>
      <c r="N55" s="12" t="str">
        <f t="shared" si="57"/>
        <v>DO NOT SELL</v>
      </c>
    </row>
    <row r="56" spans="1:14" ht="18" customHeight="1" x14ac:dyDescent="0.2">
      <c r="A56" s="15" t="s">
        <v>31</v>
      </c>
      <c r="B56" s="15" t="s">
        <v>37</v>
      </c>
      <c r="C56" s="15" t="s">
        <v>67</v>
      </c>
      <c r="D56" s="15" t="s">
        <v>67</v>
      </c>
      <c r="E56" s="16">
        <v>10</v>
      </c>
      <c r="F56" s="17">
        <v>0</v>
      </c>
      <c r="G56" s="2">
        <f t="shared" si="52"/>
        <v>0</v>
      </c>
      <c r="H56" s="3"/>
      <c r="I56" s="3"/>
      <c r="J56" s="13">
        <f t="shared" si="53"/>
        <v>0</v>
      </c>
      <c r="K56" s="3">
        <f t="shared" si="54"/>
        <v>0</v>
      </c>
      <c r="L56" s="4">
        <f t="shared" si="55"/>
        <v>0</v>
      </c>
      <c r="M56" s="4">
        <f t="shared" si="56"/>
        <v>0</v>
      </c>
      <c r="N56" s="12" t="str">
        <f t="shared" si="57"/>
        <v>DO NOT SELL</v>
      </c>
    </row>
    <row r="57" spans="1:14" ht="18" customHeight="1" x14ac:dyDescent="0.2">
      <c r="A57" s="15" t="s">
        <v>31</v>
      </c>
      <c r="B57" s="15" t="s">
        <v>37</v>
      </c>
      <c r="C57" s="15" t="s">
        <v>68</v>
      </c>
      <c r="D57" s="15" t="s">
        <v>68</v>
      </c>
      <c r="E57" s="16">
        <v>10</v>
      </c>
      <c r="F57" s="17">
        <v>100</v>
      </c>
      <c r="G57" s="2">
        <f t="shared" si="52"/>
        <v>1000</v>
      </c>
      <c r="H57" s="3">
        <v>100</v>
      </c>
      <c r="I57" s="3"/>
      <c r="J57" s="13">
        <f t="shared" si="53"/>
        <v>100</v>
      </c>
      <c r="K57" s="3">
        <f t="shared" si="54"/>
        <v>0</v>
      </c>
      <c r="L57" s="4">
        <f t="shared" si="55"/>
        <v>1000</v>
      </c>
      <c r="M57" s="4">
        <f t="shared" si="56"/>
        <v>0</v>
      </c>
      <c r="N57" s="12" t="str">
        <f t="shared" si="57"/>
        <v>DO NOT SELL</v>
      </c>
    </row>
    <row r="58" spans="1:14" ht="18" customHeight="1" x14ac:dyDescent="0.2">
      <c r="A58" s="15" t="s">
        <v>31</v>
      </c>
      <c r="B58" s="15" t="s">
        <v>37</v>
      </c>
      <c r="C58" s="15" t="s">
        <v>69</v>
      </c>
      <c r="D58" s="15" t="s">
        <v>69</v>
      </c>
      <c r="E58" s="16">
        <v>10</v>
      </c>
      <c r="F58" s="17">
        <v>0</v>
      </c>
      <c r="G58" s="2">
        <f t="shared" si="52"/>
        <v>0</v>
      </c>
      <c r="H58" s="3"/>
      <c r="I58" s="3"/>
      <c r="J58" s="13">
        <f t="shared" si="53"/>
        <v>0</v>
      </c>
      <c r="K58" s="3">
        <f t="shared" si="54"/>
        <v>0</v>
      </c>
      <c r="L58" s="4">
        <f t="shared" si="55"/>
        <v>0</v>
      </c>
      <c r="M58" s="4">
        <f t="shared" si="56"/>
        <v>0</v>
      </c>
      <c r="N58" s="12" t="str">
        <f t="shared" si="57"/>
        <v>DO NOT SELL</v>
      </c>
    </row>
    <row r="59" spans="1:14" ht="18" customHeight="1" x14ac:dyDescent="0.2">
      <c r="A59" s="15" t="s">
        <v>31</v>
      </c>
      <c r="B59" s="15" t="s">
        <v>37</v>
      </c>
      <c r="C59" s="15" t="s">
        <v>70</v>
      </c>
      <c r="D59" s="15" t="s">
        <v>70</v>
      </c>
      <c r="E59" s="16">
        <v>10</v>
      </c>
      <c r="F59" s="17">
        <v>0</v>
      </c>
      <c r="G59" s="2">
        <f t="shared" si="52"/>
        <v>0</v>
      </c>
      <c r="H59" s="3"/>
      <c r="I59" s="3"/>
      <c r="J59" s="13">
        <f t="shared" ref="J59:J70" si="58">H59+I59</f>
        <v>0</v>
      </c>
      <c r="K59" s="3">
        <f t="shared" ref="K59:K70" si="59">F59-J59</f>
        <v>0</v>
      </c>
      <c r="L59" s="4">
        <f t="shared" ref="L59:L70" si="60">J59*E59</f>
        <v>0</v>
      </c>
      <c r="M59" s="4">
        <f t="shared" ref="M59:M70" si="61">G59-L59</f>
        <v>0</v>
      </c>
      <c r="N59" s="12" t="str">
        <f t="shared" ref="N59:N70" si="62">IF(M59&gt;0,"KEEP SELLING", "DO NOT SELL")</f>
        <v>DO NOT SELL</v>
      </c>
    </row>
    <row r="60" spans="1:14" ht="18" customHeight="1" x14ac:dyDescent="0.2">
      <c r="A60" s="15" t="s">
        <v>31</v>
      </c>
      <c r="B60" s="15" t="s">
        <v>37</v>
      </c>
      <c r="C60" s="15" t="s">
        <v>71</v>
      </c>
      <c r="D60" s="15" t="s">
        <v>71</v>
      </c>
      <c r="E60" s="16">
        <v>10</v>
      </c>
      <c r="F60" s="17">
        <v>0</v>
      </c>
      <c r="G60" s="2">
        <f t="shared" si="52"/>
        <v>0</v>
      </c>
      <c r="H60" s="3"/>
      <c r="I60" s="3"/>
      <c r="J60" s="13">
        <f t="shared" si="58"/>
        <v>0</v>
      </c>
      <c r="K60" s="3">
        <f t="shared" si="59"/>
        <v>0</v>
      </c>
      <c r="L60" s="4">
        <f t="shared" si="60"/>
        <v>0</v>
      </c>
      <c r="M60" s="4">
        <f t="shared" si="61"/>
        <v>0</v>
      </c>
      <c r="N60" s="12" t="str">
        <f t="shared" si="62"/>
        <v>DO NOT SELL</v>
      </c>
    </row>
    <row r="61" spans="1:14" ht="18" customHeight="1" x14ac:dyDescent="0.2">
      <c r="A61" s="15" t="s">
        <v>31</v>
      </c>
      <c r="B61" s="15" t="s">
        <v>37</v>
      </c>
      <c r="C61" s="15" t="s">
        <v>72</v>
      </c>
      <c r="D61" s="15" t="s">
        <v>72</v>
      </c>
      <c r="E61" s="16">
        <v>10</v>
      </c>
      <c r="F61" s="17">
        <v>0</v>
      </c>
      <c r="G61" s="2">
        <f t="shared" si="52"/>
        <v>0</v>
      </c>
      <c r="H61" s="3"/>
      <c r="I61" s="3"/>
      <c r="J61" s="13">
        <f t="shared" si="58"/>
        <v>0</v>
      </c>
      <c r="K61" s="3">
        <f t="shared" si="59"/>
        <v>0</v>
      </c>
      <c r="L61" s="4">
        <f t="shared" si="60"/>
        <v>0</v>
      </c>
      <c r="M61" s="4">
        <f t="shared" si="61"/>
        <v>0</v>
      </c>
      <c r="N61" s="12" t="str">
        <f t="shared" si="62"/>
        <v>DO NOT SELL</v>
      </c>
    </row>
    <row r="62" spans="1:14" ht="18" customHeight="1" x14ac:dyDescent="0.2">
      <c r="A62" s="15" t="s">
        <v>31</v>
      </c>
      <c r="B62" s="15" t="s">
        <v>37</v>
      </c>
      <c r="C62" s="15" t="s">
        <v>73</v>
      </c>
      <c r="D62" s="15" t="s">
        <v>73</v>
      </c>
      <c r="E62" s="16">
        <v>10</v>
      </c>
      <c r="F62" s="17">
        <v>0</v>
      </c>
      <c r="G62" s="2">
        <f t="shared" si="52"/>
        <v>0</v>
      </c>
      <c r="H62" s="3"/>
      <c r="I62" s="3"/>
      <c r="J62" s="13">
        <f t="shared" si="58"/>
        <v>0</v>
      </c>
      <c r="K62" s="3">
        <f t="shared" si="59"/>
        <v>0</v>
      </c>
      <c r="L62" s="4">
        <f t="shared" si="60"/>
        <v>0</v>
      </c>
      <c r="M62" s="4">
        <f t="shared" si="61"/>
        <v>0</v>
      </c>
      <c r="N62" s="12" t="str">
        <f t="shared" si="62"/>
        <v>DO NOT SELL</v>
      </c>
    </row>
    <row r="63" spans="1:14" ht="18" customHeight="1" x14ac:dyDescent="0.2">
      <c r="A63" s="15" t="s">
        <v>31</v>
      </c>
      <c r="B63" s="15" t="s">
        <v>37</v>
      </c>
      <c r="C63" s="15" t="s">
        <v>74</v>
      </c>
      <c r="D63" s="15" t="s">
        <v>74</v>
      </c>
      <c r="E63" s="16">
        <v>10</v>
      </c>
      <c r="F63" s="17">
        <v>0</v>
      </c>
      <c r="G63" s="2">
        <f t="shared" si="52"/>
        <v>0</v>
      </c>
      <c r="H63" s="3"/>
      <c r="I63" s="3"/>
      <c r="J63" s="13">
        <f t="shared" si="58"/>
        <v>0</v>
      </c>
      <c r="K63" s="3">
        <f t="shared" si="59"/>
        <v>0</v>
      </c>
      <c r="L63" s="4">
        <f t="shared" si="60"/>
        <v>0</v>
      </c>
      <c r="M63" s="4">
        <f t="shared" si="61"/>
        <v>0</v>
      </c>
      <c r="N63" s="12" t="str">
        <f t="shared" si="62"/>
        <v>DO NOT SELL</v>
      </c>
    </row>
    <row r="64" spans="1:14" ht="18" customHeight="1" x14ac:dyDescent="0.2">
      <c r="A64" s="15" t="s">
        <v>31</v>
      </c>
      <c r="B64" s="15" t="s">
        <v>37</v>
      </c>
      <c r="C64" s="15" t="s">
        <v>75</v>
      </c>
      <c r="D64" s="15" t="s">
        <v>75</v>
      </c>
      <c r="E64" s="16">
        <v>10</v>
      </c>
      <c r="F64" s="17">
        <v>0</v>
      </c>
      <c r="G64" s="2">
        <f t="shared" si="52"/>
        <v>0</v>
      </c>
      <c r="H64" s="3"/>
      <c r="I64" s="3"/>
      <c r="J64" s="13">
        <f t="shared" si="58"/>
        <v>0</v>
      </c>
      <c r="K64" s="3">
        <f t="shared" si="59"/>
        <v>0</v>
      </c>
      <c r="L64" s="4">
        <f t="shared" si="60"/>
        <v>0</v>
      </c>
      <c r="M64" s="4">
        <f t="shared" si="61"/>
        <v>0</v>
      </c>
      <c r="N64" s="12" t="str">
        <f t="shared" si="62"/>
        <v>DO NOT SELL</v>
      </c>
    </row>
    <row r="65" spans="1:14" ht="18" customHeight="1" x14ac:dyDescent="0.2">
      <c r="A65" s="15" t="s">
        <v>31</v>
      </c>
      <c r="B65" s="15" t="s">
        <v>37</v>
      </c>
      <c r="C65" s="15" t="s">
        <v>76</v>
      </c>
      <c r="D65" s="15" t="s">
        <v>76</v>
      </c>
      <c r="E65" s="16">
        <v>10</v>
      </c>
      <c r="F65" s="17">
        <v>0</v>
      </c>
      <c r="G65" s="2">
        <f t="shared" si="52"/>
        <v>0</v>
      </c>
      <c r="H65" s="3"/>
      <c r="I65" s="3"/>
      <c r="J65" s="13">
        <f t="shared" si="58"/>
        <v>0</v>
      </c>
      <c r="K65" s="3">
        <f t="shared" si="59"/>
        <v>0</v>
      </c>
      <c r="L65" s="4">
        <f t="shared" si="60"/>
        <v>0</v>
      </c>
      <c r="M65" s="4">
        <f t="shared" si="61"/>
        <v>0</v>
      </c>
      <c r="N65" s="12" t="str">
        <f t="shared" si="62"/>
        <v>DO NOT SELL</v>
      </c>
    </row>
    <row r="66" spans="1:14" ht="18" customHeight="1" x14ac:dyDescent="0.2">
      <c r="A66" s="15" t="s">
        <v>31</v>
      </c>
      <c r="B66" s="15" t="s">
        <v>37</v>
      </c>
      <c r="C66" s="15" t="s">
        <v>77</v>
      </c>
      <c r="D66" s="15" t="s">
        <v>77</v>
      </c>
      <c r="E66" s="16">
        <v>10</v>
      </c>
      <c r="F66" s="17">
        <v>0</v>
      </c>
      <c r="G66" s="2">
        <f t="shared" si="52"/>
        <v>0</v>
      </c>
      <c r="H66" s="3"/>
      <c r="I66" s="3"/>
      <c r="J66" s="13">
        <f t="shared" si="58"/>
        <v>0</v>
      </c>
      <c r="K66" s="3">
        <f t="shared" si="59"/>
        <v>0</v>
      </c>
      <c r="L66" s="4">
        <f t="shared" si="60"/>
        <v>0</v>
      </c>
      <c r="M66" s="4">
        <f t="shared" si="61"/>
        <v>0</v>
      </c>
      <c r="N66" s="12" t="str">
        <f t="shared" si="62"/>
        <v>DO NOT SELL</v>
      </c>
    </row>
    <row r="67" spans="1:14" ht="18" customHeight="1" x14ac:dyDescent="0.2">
      <c r="A67" s="15" t="s">
        <v>31</v>
      </c>
      <c r="B67" s="15" t="s">
        <v>37</v>
      </c>
      <c r="C67" s="15" t="s">
        <v>78</v>
      </c>
      <c r="D67" s="15" t="s">
        <v>78</v>
      </c>
      <c r="E67" s="16">
        <v>10</v>
      </c>
      <c r="F67" s="17">
        <v>0</v>
      </c>
      <c r="G67" s="2">
        <f t="shared" si="52"/>
        <v>0</v>
      </c>
      <c r="H67" s="3"/>
      <c r="I67" s="3"/>
      <c r="J67" s="13">
        <f t="shared" si="58"/>
        <v>0</v>
      </c>
      <c r="K67" s="3">
        <f t="shared" si="59"/>
        <v>0</v>
      </c>
      <c r="L67" s="4">
        <f t="shared" si="60"/>
        <v>0</v>
      </c>
      <c r="M67" s="4">
        <f t="shared" si="61"/>
        <v>0</v>
      </c>
      <c r="N67" s="12" t="str">
        <f t="shared" si="62"/>
        <v>DO NOT SELL</v>
      </c>
    </row>
    <row r="68" spans="1:14" ht="18" customHeight="1" x14ac:dyDescent="0.2">
      <c r="A68" s="15" t="s">
        <v>31</v>
      </c>
      <c r="B68" s="15" t="s">
        <v>37</v>
      </c>
      <c r="C68" s="15" t="s">
        <v>79</v>
      </c>
      <c r="D68" s="15" t="s">
        <v>79</v>
      </c>
      <c r="E68" s="16">
        <v>10</v>
      </c>
      <c r="F68" s="17">
        <v>0</v>
      </c>
      <c r="G68" s="2">
        <f t="shared" si="52"/>
        <v>0</v>
      </c>
      <c r="H68" s="3"/>
      <c r="I68" s="3"/>
      <c r="J68" s="13">
        <f t="shared" si="58"/>
        <v>0</v>
      </c>
      <c r="K68" s="3">
        <f t="shared" si="59"/>
        <v>0</v>
      </c>
      <c r="L68" s="4">
        <f t="shared" si="60"/>
        <v>0</v>
      </c>
      <c r="M68" s="4">
        <f t="shared" si="61"/>
        <v>0</v>
      </c>
      <c r="N68" s="12" t="str">
        <f t="shared" si="62"/>
        <v>DO NOT SELL</v>
      </c>
    </row>
    <row r="69" spans="1:14" ht="18" customHeight="1" x14ac:dyDescent="0.2">
      <c r="A69" s="15" t="s">
        <v>31</v>
      </c>
      <c r="B69" s="15" t="s">
        <v>37</v>
      </c>
      <c r="C69" s="15" t="s">
        <v>80</v>
      </c>
      <c r="D69" s="15" t="s">
        <v>80</v>
      </c>
      <c r="E69" s="16">
        <v>10</v>
      </c>
      <c r="F69" s="17">
        <v>0</v>
      </c>
      <c r="G69" s="2">
        <f t="shared" si="52"/>
        <v>0</v>
      </c>
      <c r="H69" s="3"/>
      <c r="I69" s="3"/>
      <c r="J69" s="13">
        <f t="shared" si="58"/>
        <v>0</v>
      </c>
      <c r="K69" s="3">
        <f t="shared" si="59"/>
        <v>0</v>
      </c>
      <c r="L69" s="4">
        <f t="shared" si="60"/>
        <v>0</v>
      </c>
      <c r="M69" s="4">
        <f t="shared" si="61"/>
        <v>0</v>
      </c>
      <c r="N69" s="12" t="str">
        <f t="shared" si="62"/>
        <v>DO NOT SELL</v>
      </c>
    </row>
    <row r="70" spans="1:14" ht="18" customHeight="1" x14ac:dyDescent="0.2">
      <c r="A70" s="15" t="s">
        <v>31</v>
      </c>
      <c r="B70" s="15" t="s">
        <v>37</v>
      </c>
      <c r="C70" s="15" t="s">
        <v>81</v>
      </c>
      <c r="D70" s="15" t="s">
        <v>81</v>
      </c>
      <c r="E70" s="16">
        <v>10</v>
      </c>
      <c r="F70" s="17">
        <v>0</v>
      </c>
      <c r="G70" s="2">
        <f t="shared" si="52"/>
        <v>0</v>
      </c>
      <c r="H70" s="3"/>
      <c r="I70" s="3"/>
      <c r="J70" s="13">
        <f t="shared" si="58"/>
        <v>0</v>
      </c>
      <c r="K70" s="3">
        <f t="shared" si="59"/>
        <v>0</v>
      </c>
      <c r="L70" s="4">
        <f t="shared" si="60"/>
        <v>0</v>
      </c>
      <c r="M70" s="4">
        <f t="shared" si="61"/>
        <v>0</v>
      </c>
      <c r="N70" s="12" t="str">
        <f t="shared" si="62"/>
        <v>DO NOT SELL</v>
      </c>
    </row>
  </sheetData>
  <conditionalFormatting sqref="H2:N70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2026-02-27T22:11:24Z</dcterms:modified>
  <cp:category/>
  <cp:contentStatus/>
</cp:coreProperties>
</file>