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3\"/>
    </mc:Choice>
  </mc:AlternateContent>
  <xr:revisionPtr revIDLastSave="0" documentId="13_ncr:1_{DC8273FF-8D4A-426D-8994-8C949C0B86E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4" l="1"/>
  <c r="J4" i="14" l="1"/>
  <c r="K4" i="14" s="1"/>
  <c r="G4" i="14"/>
  <c r="J3" i="14"/>
  <c r="L3" i="14" s="1"/>
  <c r="G3" i="14"/>
  <c r="J2" i="14"/>
  <c r="K2" i="14" s="1"/>
  <c r="M3" i="14" l="1"/>
  <c r="N3" i="14" s="1"/>
  <c r="K3" i="14"/>
  <c r="L4" i="14"/>
  <c r="M4" i="14" s="1"/>
  <c r="N4" i="14" s="1"/>
  <c r="G2" i="14"/>
  <c r="L2" i="14" l="1"/>
  <c r="Q2" i="14" s="1"/>
  <c r="R2" i="14" l="1"/>
  <c r="M2" i="14"/>
  <c r="N2" i="14" s="1"/>
</calcChain>
</file>

<file path=xl/sharedStrings.xml><?xml version="1.0" encoding="utf-8"?>
<sst xmlns="http://schemas.openxmlformats.org/spreadsheetml/2006/main" count="27" uniqueCount="20">
  <si>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</si>
  <si>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</si>
  <si>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</si>
  <si>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</si>
  <si>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</si>
  <si>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</si>
  <si>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</si>
  <si>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</si>
  <si>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</si>
  <si>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</si>
  <si>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</si>
  <si>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</si>
  <si>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</si>
  <si>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W12 AR Special Market Sell-Thru Promotion</t>
  </si>
  <si>
    <t>W11-W12 Vitel S25 Ultra Flash Promo ST Promo</t>
  </si>
  <si>
    <t>A0S3A0A260000217</t>
  </si>
  <si>
    <t>0217</t>
  </si>
  <si>
    <t>G-Z-FLIP7</t>
  </si>
  <si>
    <t>G-Z-FLIP7-FE</t>
  </si>
  <si>
    <t>G-Z-FOLD7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</si>
</sst>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R4"/>
  <sheetViews>
    <sheetView showGridLines="0" tabSelected="1" zoomScale="106" zoomScaleNormal="106" workbookViewId="0">
      <pane ySplit="1" topLeftCell="A2" activePane="bottomLeft" state="frozen"/>
      <selection pane="bottomLeft" activeCell="I5" sqref="I5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16</v>
      </c>
    </row>
    <row r="2" spans="1:18" ht="18" customHeight="1" x14ac:dyDescent="0.2">
      <c r="A2" s="16" t="s">
        <v>15</v>
      </c>
      <c r="B2" s="16" t="s">
        <v>14</v>
      </c>
      <c r="C2" s="16" t="s">
        <v>17</v>
      </c>
      <c r="D2" s="16" t="s">
        <v>17</v>
      </c>
      <c r="E2" s="2">
        <v>80</v>
      </c>
      <c r="F2" s="13">
        <v>1</v>
      </c>
      <c r="G2" s="2">
        <f t="shared" ref="G2" si="0">E2*F2</f>
        <v>80</v>
      </c>
      <c r="H2" s="3"/>
      <c r="I2" s="3">
        <v>1</v>
      </c>
      <c r="J2" s="14">
        <f>H2+I2</f>
        <v>1</v>
      </c>
      <c r="K2" s="3">
        <f>F2-J2</f>
        <v>0</v>
      </c>
      <c r="L2" s="4">
        <f t="shared" ref="L2" si="1">J2*E2</f>
        <v>80</v>
      </c>
      <c r="M2" s="4">
        <f t="shared" ref="M2" si="2">G2-L2</f>
        <v>0</v>
      </c>
      <c r="N2" s="12" t="str">
        <f t="shared" ref="N2" si="3">IF(M2&gt;0,"KEEP SELLING", "DO NOT SELL")</f>
        <v>DO NOT SELL</v>
      </c>
      <c r="P2" s="10">
        <f>SUM(G2:G4)</f>
        <v>5240</v>
      </c>
      <c r="Q2" s="9">
        <f>SUM(L2:L4)</f>
        <v>4740</v>
      </c>
      <c r="R2" s="11">
        <f>P2-Q2</f>
        <v>500</v>
      </c>
    </row>
    <row r="3" spans="1:18" ht="18" customHeight="1" x14ac:dyDescent="0.2">
      <c r="A3" s="16" t="s">
        <v>15</v>
      </c>
      <c r="B3" s="16" t="s">
        <v>13</v>
      </c>
      <c r="C3" s="16" t="s">
        <v>18</v>
      </c>
      <c r="D3" s="16" t="s">
        <v>18</v>
      </c>
      <c r="E3" s="2">
        <v>120</v>
      </c>
      <c r="F3" s="13">
        <v>38</v>
      </c>
      <c r="G3" s="2">
        <f t="shared" ref="G3:G4" si="4">E3*F3</f>
        <v>4560</v>
      </c>
      <c r="H3" s="3">
        <v>12</v>
      </c>
      <c r="I3" s="3">
        <v>26</v>
      </c>
      <c r="J3" s="14">
        <f t="shared" ref="J3:J4" si="5">H3+I3</f>
        <v>38</v>
      </c>
      <c r="K3" s="3">
        <f t="shared" ref="K3:K4" si="6">F3-J3</f>
        <v>0</v>
      </c>
      <c r="L3" s="4">
        <f t="shared" ref="L3:L4" si="7">J3*E3</f>
        <v>4560</v>
      </c>
      <c r="M3" s="4">
        <f t="shared" ref="M3:M4" si="8">G3-L3</f>
        <v>0</v>
      </c>
      <c r="N3" s="12" t="str">
        <f t="shared" ref="N3:N4" si="9">IF(M3&gt;0,"KEEP SELLING", "DO NOT SELL")</f>
        <v>DO NOT SELL</v>
      </c>
      <c r="P3" s="10"/>
      <c r="Q3" s="9"/>
    </row>
    <row r="4" spans="1:18" ht="18" customHeight="1" x14ac:dyDescent="0.2">
      <c r="A4" s="16" t="s">
        <v>15</v>
      </c>
      <c r="B4" s="16" t="s">
        <v>13</v>
      </c>
      <c r="C4" s="16" t="s">
        <v>19</v>
      </c>
      <c r="D4" s="16" t="s">
        <v>19</v>
      </c>
      <c r="E4" s="2">
        <v>100</v>
      </c>
      <c r="F4" s="13">
        <v>6</v>
      </c>
      <c r="G4" s="2">
        <f t="shared" si="4"/>
        <v>600</v>
      </c>
      <c r="H4" s="3"/>
      <c r="I4" s="3">
        <v>1</v>
      </c>
      <c r="J4" s="14">
        <f t="shared" si="5"/>
        <v>1</v>
      </c>
      <c r="K4" s="3">
        <f t="shared" si="6"/>
        <v>5</v>
      </c>
      <c r="L4" s="4">
        <f t="shared" si="7"/>
        <v>100</v>
      </c>
      <c r="M4" s="4">
        <f t="shared" si="8"/>
        <v>500</v>
      </c>
      <c r="N4" s="12" t="str">
        <f t="shared" si="9"/>
        <v>KEEP SELLING</v>
      </c>
      <c r="P4" s="10"/>
      <c r="Q4" s="9"/>
    </row>
  </sheetData>
  <autoFilter ref="A1:N4" xr:uid="{E531A572-DBCA-4727-9FCC-B7F090A43239}"/>
  <conditionalFormatting sqref="H2:N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2026-03-24T17:24:05Z</dcterms:modified>
  <cp:category/>
  <cp:contentStatus/>
</cp:coreProperties>
</file>