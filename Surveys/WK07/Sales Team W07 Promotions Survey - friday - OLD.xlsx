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7\"/>
    </mc:Choice>
  </mc:AlternateContent>
  <xr:revisionPtr revIDLastSave="0" documentId="13_ncr:1_{3A0FDA6D-C103-4C76-A032-44D78E81F1F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ending to samsung" sheetId="14" r:id="rId1"/>
    <sheet name="As of now" sheetId="13" r:id="rId2"/>
  </sheets>
  <definedNames>
    <definedName name="_xlnm._FilterDatabase" localSheetId="1" hidden="1">'As of now'!$A$1:$N$4</definedName>
    <definedName name="_xlnm._FilterDatabase" localSheetId="0" hidden="1">'sending to samsung'!$A$1:$N$16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4" l="1"/>
  <c r="K16" i="14" s="1"/>
  <c r="G16" i="14"/>
  <c r="J15" i="14"/>
  <c r="L15" i="14" s="1"/>
  <c r="G15" i="14"/>
  <c r="J14" i="14"/>
  <c r="K14" i="14" s="1"/>
  <c r="G14" i="14"/>
  <c r="J13" i="14"/>
  <c r="L13" i="14" s="1"/>
  <c r="G13" i="14"/>
  <c r="J12" i="14"/>
  <c r="L12" i="14" s="1"/>
  <c r="G12" i="14"/>
  <c r="J11" i="14"/>
  <c r="L11" i="14" s="1"/>
  <c r="G11" i="14"/>
  <c r="J10" i="14"/>
  <c r="L10" i="14" s="1"/>
  <c r="G10" i="14"/>
  <c r="J9" i="14"/>
  <c r="L9" i="14" s="1"/>
  <c r="G9" i="14"/>
  <c r="J8" i="14"/>
  <c r="K8" i="14" s="1"/>
  <c r="G8" i="14"/>
  <c r="J7" i="14"/>
  <c r="K7" i="14" s="1"/>
  <c r="G7" i="14"/>
  <c r="J6" i="14"/>
  <c r="K6" i="14" s="1"/>
  <c r="G6" i="14"/>
  <c r="J5" i="14"/>
  <c r="L5" i="14" s="1"/>
  <c r="G5" i="14"/>
  <c r="J4" i="14"/>
  <c r="K4" i="14" s="1"/>
  <c r="J3" i="14"/>
  <c r="K3" i="14" s="1"/>
  <c r="J2" i="14"/>
  <c r="K2" i="14" s="1"/>
  <c r="M9" i="14" l="1"/>
  <c r="N9" i="14" s="1"/>
  <c r="M5" i="14"/>
  <c r="N5" i="14" s="1"/>
  <c r="P3" i="14"/>
  <c r="M15" i="14"/>
  <c r="N15" i="14" s="1"/>
  <c r="P4" i="14"/>
  <c r="M12" i="14"/>
  <c r="N12" i="14" s="1"/>
  <c r="M13" i="14"/>
  <c r="N13" i="14" s="1"/>
  <c r="M11" i="14"/>
  <c r="N11" i="14" s="1"/>
  <c r="M10" i="14"/>
  <c r="N10" i="14" s="1"/>
  <c r="K12" i="14"/>
  <c r="L8" i="14"/>
  <c r="M8" i="14" s="1"/>
  <c r="N8" i="14" s="1"/>
  <c r="L16" i="14"/>
  <c r="M16" i="14" s="1"/>
  <c r="N16" i="14" s="1"/>
  <c r="K5" i="14"/>
  <c r="K11" i="14"/>
  <c r="K13" i="14"/>
  <c r="K15" i="14"/>
  <c r="K10" i="14"/>
  <c r="L6" i="14"/>
  <c r="M6" i="14" s="1"/>
  <c r="N6" i="14" s="1"/>
  <c r="L14" i="14"/>
  <c r="M14" i="14" s="1"/>
  <c r="N14" i="14" s="1"/>
  <c r="K9" i="14"/>
  <c r="L7" i="14"/>
  <c r="M7" i="14" s="1"/>
  <c r="N7" i="14" s="1"/>
  <c r="J4" i="13"/>
  <c r="L4" i="13" s="1"/>
  <c r="L4" i="14"/>
  <c r="G4" i="14"/>
  <c r="L3" i="14"/>
  <c r="G3" i="14"/>
  <c r="G2" i="14"/>
  <c r="G4" i="13"/>
  <c r="G3" i="13"/>
  <c r="J3" i="13"/>
  <c r="K3" i="13" s="1"/>
  <c r="J2" i="13"/>
  <c r="K2" i="13" s="1"/>
  <c r="G2" i="13"/>
  <c r="Q4" i="14" l="1"/>
  <c r="T2" i="14" s="1"/>
  <c r="Q3" i="14"/>
  <c r="S2" i="14" s="1"/>
  <c r="M4" i="14"/>
  <c r="N4" i="14" s="1"/>
  <c r="P2" i="14"/>
  <c r="M3" i="14"/>
  <c r="N3" i="14" s="1"/>
  <c r="L2" i="14"/>
  <c r="Q2" i="14" s="1"/>
  <c r="P2" i="13"/>
  <c r="M4" i="13"/>
  <c r="N4" i="13" s="1"/>
  <c r="K4" i="13"/>
  <c r="L2" i="13"/>
  <c r="L3" i="13"/>
  <c r="R2" i="14" l="1"/>
  <c r="M2" i="14"/>
  <c r="N2" i="14" s="1"/>
  <c r="Q2" i="13"/>
  <c r="R2" i="13" s="1"/>
  <c r="M2" i="13"/>
  <c r="N2" i="13" s="1"/>
  <c r="M3" i="13"/>
  <c r="N3" i="13" s="1"/>
</calcChain>
</file>

<file path=xl/sharedStrings.xml><?xml version="1.0" encoding="utf-8"?>
<sst xmlns="http://schemas.openxmlformats.org/spreadsheetml/2006/main" count="103" uniqueCount="37">
  <si>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</si>
  <si>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</si>
  <si>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</si>
  <si>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</si>
  <si>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</si>
  <si>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</si>
  <si>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</si>
  <si>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</si>
  <si>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</si>
  <si>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</si>
  <si>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</si>
  <si>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</si>
  <si>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</si>
  <si>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VITEL W52-W2 Foldables Series Sustain ST Promo</t>
  </si>
  <si>
    <t>A0S3A0A250001307</t>
  </si>
  <si>
    <t>A0S3A0A250001317</t>
  </si>
  <si>
    <t>G-Z-FLIP7</t>
  </si>
  <si>
    <t>G-Z-FLIP7-FE</t>
  </si>
  <si>
    <t>G-Z-FOLD7</t>
  </si>
  <si>
    <t>0047</t>
  </si>
  <si>
    <t>0074</t>
  </si>
  <si>
    <t>0082</t>
  </si>
  <si>
    <t>A0S3A0A250000047</t>
  </si>
  <si>
    <t>VITEL W5-W7 Foldables Series Sustain ST Promo</t>
  </si>
  <si>
    <t>A0S3A0A250000074</t>
  </si>
  <si>
    <t>A0S3A0A250000082</t>
  </si>
  <si>
    <t>A06</t>
  </si>
  <si>
    <t>A07</t>
  </si>
  <si>
    <t>A16</t>
  </si>
  <si>
    <t>A17</t>
  </si>
  <si>
    <t>A26</t>
  </si>
  <si>
    <t>A36</t>
  </si>
  <si>
    <t>A56</t>
  </si>
  <si>
    <t>S25</t>
  </si>
  <si>
    <t>S25+</t>
  </si>
  <si>
    <t>S25 ULTRA</t>
  </si>
  <si>
    <t>VITEL W5-W7 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</si>
</sst>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20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3" fontId="0" fillId="4" borderId="1" xfId="0" applyNumberFormat="1" applyFill="1" applyBorder="1"/>
    <xf numFmtId="0" fontId="2" fillId="0" borderId="1" xfId="0" applyFont="1" applyBorder="1"/>
    <xf numFmtId="0" fontId="2" fillId="0" borderId="1" xfId="2" applyBorder="1"/>
    <xf numFmtId="44" fontId="0" fillId="4" borderId="1" xfId="0" applyNumberFormat="1" applyFill="1" applyBorder="1"/>
    <xf numFmtId="1" fontId="2" fillId="3" borderId="1" xfId="0" applyNumberFormat="1" applyFont="1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T16"/>
  <sheetViews>
    <sheetView showGridLines="0" tabSelected="1" zoomScaleNormal="100" workbookViewId="0">
      <pane ySplit="1" topLeftCell="A2" activePane="bottomLeft" state="frozen"/>
      <selection pane="bottomLeft" activeCell="I5" sqref="I5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0.42578125" bestFit="1" customWidth="1"/>
    <col min="19" max="19" width="11.42578125" bestFit="1" customWidth="1"/>
    <col min="20" max="20" width="10.42578125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1" t="s">
        <v>19</v>
      </c>
      <c r="S1" s="11" t="s">
        <v>20</v>
      </c>
      <c r="T1" s="11" t="s">
        <v>21</v>
      </c>
    </row>
    <row r="2" spans="1:20" ht="18" customHeight="1" x14ac:dyDescent="0.2">
      <c r="A2" s="16" t="s">
        <v>22</v>
      </c>
      <c r="B2" s="16" t="s">
        <v>23</v>
      </c>
      <c r="C2" s="17" t="s">
        <v>16</v>
      </c>
      <c r="D2" s="17" t="s">
        <v>16</v>
      </c>
      <c r="E2" s="18">
        <v>80</v>
      </c>
      <c r="F2" s="15">
        <v>41</v>
      </c>
      <c r="G2" s="2">
        <f t="shared" ref="G2:G4" si="0">E2*F2</f>
        <v>3280</v>
      </c>
      <c r="H2" s="3">
        <v>15</v>
      </c>
      <c r="I2" s="3"/>
      <c r="J2" s="19">
        <f>H2+I2</f>
        <v>15</v>
      </c>
      <c r="K2" s="3">
        <f>F2-J2</f>
        <v>26</v>
      </c>
      <c r="L2" s="4">
        <f t="shared" ref="L2:L4" si="1">J2*E2</f>
        <v>1200</v>
      </c>
      <c r="M2" s="4">
        <f t="shared" ref="M2:M4" si="2">G2-L2</f>
        <v>2080</v>
      </c>
      <c r="N2" s="13" t="str">
        <f t="shared" ref="N2:N4" si="3">IF(M2&gt;0,"KEEP SELLING", "DO NOT SELL")</f>
        <v>KEEP SELLING</v>
      </c>
      <c r="P2" s="10">
        <f>SUM(G2:G4)</f>
        <v>15520</v>
      </c>
      <c r="Q2" s="9">
        <f>SUM(L2:L4)</f>
        <v>5900</v>
      </c>
      <c r="R2" s="12">
        <f>P2-Q2</f>
        <v>9620</v>
      </c>
      <c r="S2" s="12">
        <f>P3-Q3</f>
        <v>120082</v>
      </c>
      <c r="T2" s="12">
        <f>P4-Q4</f>
        <v>279</v>
      </c>
    </row>
    <row r="3" spans="1:20" ht="18" customHeight="1" x14ac:dyDescent="0.2">
      <c r="A3" s="16" t="s">
        <v>22</v>
      </c>
      <c r="B3" s="16" t="s">
        <v>23</v>
      </c>
      <c r="C3" s="17" t="s">
        <v>17</v>
      </c>
      <c r="D3" s="17" t="s">
        <v>17</v>
      </c>
      <c r="E3" s="18">
        <v>120</v>
      </c>
      <c r="F3" s="15">
        <v>67</v>
      </c>
      <c r="G3" s="2">
        <f t="shared" si="0"/>
        <v>8040</v>
      </c>
      <c r="H3" s="3">
        <v>35</v>
      </c>
      <c r="I3" s="3"/>
      <c r="J3" s="19">
        <f t="shared" ref="J3:J4" si="4">H3+I3</f>
        <v>35</v>
      </c>
      <c r="K3" s="3">
        <f t="shared" ref="K3:K4" si="5">F3-J3</f>
        <v>32</v>
      </c>
      <c r="L3" s="4">
        <f t="shared" si="1"/>
        <v>4200</v>
      </c>
      <c r="M3" s="4">
        <f t="shared" si="2"/>
        <v>3840</v>
      </c>
      <c r="N3" s="13" t="str">
        <f t="shared" si="3"/>
        <v>KEEP SELLING</v>
      </c>
      <c r="P3" s="10">
        <f>SUM(G5:G14)</f>
        <v>133827</v>
      </c>
      <c r="Q3" s="9">
        <f>SUM(L5:L14)</f>
        <v>13745</v>
      </c>
    </row>
    <row r="4" spans="1:20" ht="18" customHeight="1" x14ac:dyDescent="0.2">
      <c r="A4" s="16" t="s">
        <v>22</v>
      </c>
      <c r="B4" s="16" t="s">
        <v>23</v>
      </c>
      <c r="C4" s="17" t="s">
        <v>18</v>
      </c>
      <c r="D4" s="17" t="s">
        <v>18</v>
      </c>
      <c r="E4" s="18">
        <v>100</v>
      </c>
      <c r="F4" s="15">
        <v>42</v>
      </c>
      <c r="G4" s="2">
        <f t="shared" si="0"/>
        <v>4200</v>
      </c>
      <c r="H4" s="3">
        <v>5</v>
      </c>
      <c r="I4" s="3"/>
      <c r="J4" s="19">
        <f t="shared" si="4"/>
        <v>5</v>
      </c>
      <c r="K4" s="3">
        <f t="shared" si="5"/>
        <v>37</v>
      </c>
      <c r="L4" s="4">
        <f t="shared" si="1"/>
        <v>500</v>
      </c>
      <c r="M4" s="4">
        <f t="shared" si="2"/>
        <v>3700</v>
      </c>
      <c r="N4" s="13" t="str">
        <f t="shared" si="3"/>
        <v>KEEP SELLING</v>
      </c>
      <c r="P4" s="10">
        <f>SUM(G15:G16)</f>
        <v>45279</v>
      </c>
      <c r="Q4" s="9">
        <f>SUM(L15:L16)</f>
        <v>45000</v>
      </c>
    </row>
    <row r="5" spans="1:20" ht="18" customHeight="1" x14ac:dyDescent="0.2">
      <c r="A5" s="16" t="s">
        <v>24</v>
      </c>
      <c r="B5" s="16" t="s">
        <v>36</v>
      </c>
      <c r="C5" s="17" t="s">
        <v>26</v>
      </c>
      <c r="D5" s="17" t="s">
        <v>26</v>
      </c>
      <c r="E5" s="18">
        <v>5</v>
      </c>
      <c r="F5" s="15">
        <v>8368</v>
      </c>
      <c r="G5" s="2">
        <f t="shared" ref="G5:G16" si="6">E5*F5</f>
        <v>41840</v>
      </c>
      <c r="H5" s="3">
        <v>160</v>
      </c>
      <c r="I5" s="3">
        <v>1600</v>
      </c>
      <c r="J5" s="19">
        <f t="shared" ref="J5:J16" si="7">H5+I5</f>
        <v>1760</v>
      </c>
      <c r="K5" s="3">
        <f t="shared" ref="K5:K16" si="8">F5-J5</f>
        <v>6608</v>
      </c>
      <c r="L5" s="4">
        <f t="shared" ref="L5:L16" si="9">J5*E5</f>
        <v>8800</v>
      </c>
      <c r="M5" s="4">
        <f t="shared" ref="M5:M16" si="10">G5-L5</f>
        <v>33040</v>
      </c>
      <c r="N5" s="13" t="str">
        <f t="shared" ref="N5:N16" si="11">IF(M5&gt;0,"KEEP SELLING", "DO NOT SELL")</f>
        <v>KEEP SELLING</v>
      </c>
    </row>
    <row r="6" spans="1:20" ht="18" customHeight="1" x14ac:dyDescent="0.2">
      <c r="A6" s="16" t="s">
        <v>24</v>
      </c>
      <c r="B6" s="16" t="s">
        <v>36</v>
      </c>
      <c r="C6" s="17" t="s">
        <v>27</v>
      </c>
      <c r="D6" s="17" t="s">
        <v>27</v>
      </c>
      <c r="E6" s="18">
        <v>5</v>
      </c>
      <c r="F6" s="15">
        <v>2607</v>
      </c>
      <c r="G6" s="2">
        <f t="shared" si="6"/>
        <v>13035</v>
      </c>
      <c r="H6" s="3"/>
      <c r="I6" s="3"/>
      <c r="J6" s="19">
        <f t="shared" si="7"/>
        <v>0</v>
      </c>
      <c r="K6" s="3">
        <f t="shared" si="8"/>
        <v>2607</v>
      </c>
      <c r="L6" s="4">
        <f t="shared" si="9"/>
        <v>0</v>
      </c>
      <c r="M6" s="4">
        <f t="shared" si="10"/>
        <v>13035</v>
      </c>
      <c r="N6" s="13" t="str">
        <f t="shared" si="11"/>
        <v>KEEP SELLING</v>
      </c>
    </row>
    <row r="7" spans="1:20" ht="18" customHeight="1" x14ac:dyDescent="0.2">
      <c r="A7" s="16" t="s">
        <v>24</v>
      </c>
      <c r="B7" s="16" t="s">
        <v>36</v>
      </c>
      <c r="C7" s="17" t="s">
        <v>28</v>
      </c>
      <c r="D7" s="17" t="s">
        <v>28</v>
      </c>
      <c r="E7" s="18">
        <v>2</v>
      </c>
      <c r="F7" s="15">
        <v>4881</v>
      </c>
      <c r="G7" s="2">
        <f t="shared" si="6"/>
        <v>9762</v>
      </c>
      <c r="H7" s="3">
        <v>240</v>
      </c>
      <c r="I7" s="3"/>
      <c r="J7" s="19">
        <f t="shared" si="7"/>
        <v>240</v>
      </c>
      <c r="K7" s="3">
        <f t="shared" si="8"/>
        <v>4641</v>
      </c>
      <c r="L7" s="4">
        <f t="shared" si="9"/>
        <v>480</v>
      </c>
      <c r="M7" s="4">
        <f t="shared" si="10"/>
        <v>9282</v>
      </c>
      <c r="N7" s="13" t="str">
        <f t="shared" si="11"/>
        <v>KEEP SELLING</v>
      </c>
    </row>
    <row r="8" spans="1:20" ht="18" customHeight="1" x14ac:dyDescent="0.2">
      <c r="A8" s="16" t="s">
        <v>24</v>
      </c>
      <c r="B8" s="16" t="s">
        <v>36</v>
      </c>
      <c r="C8" s="17" t="s">
        <v>29</v>
      </c>
      <c r="D8" s="17" t="s">
        <v>29</v>
      </c>
      <c r="E8" s="18">
        <v>5</v>
      </c>
      <c r="F8" s="15">
        <v>2169</v>
      </c>
      <c r="G8" s="2">
        <f t="shared" si="6"/>
        <v>10845</v>
      </c>
      <c r="H8" s="3">
        <v>191</v>
      </c>
      <c r="I8" s="3"/>
      <c r="J8" s="19">
        <f t="shared" si="7"/>
        <v>191</v>
      </c>
      <c r="K8" s="3">
        <f t="shared" si="8"/>
        <v>1978</v>
      </c>
      <c r="L8" s="4">
        <f t="shared" si="9"/>
        <v>955</v>
      </c>
      <c r="M8" s="4">
        <f t="shared" si="10"/>
        <v>9890</v>
      </c>
      <c r="N8" s="13" t="str">
        <f t="shared" si="11"/>
        <v>KEEP SELLING</v>
      </c>
    </row>
    <row r="9" spans="1:20" ht="18" customHeight="1" x14ac:dyDescent="0.2">
      <c r="A9" s="16" t="s">
        <v>24</v>
      </c>
      <c r="B9" s="16" t="s">
        <v>36</v>
      </c>
      <c r="C9" s="17" t="s">
        <v>30</v>
      </c>
      <c r="D9" s="17" t="s">
        <v>30</v>
      </c>
      <c r="E9" s="18">
        <v>5</v>
      </c>
      <c r="F9" s="15">
        <v>730</v>
      </c>
      <c r="G9" s="2">
        <f t="shared" si="6"/>
        <v>3650</v>
      </c>
      <c r="H9" s="3">
        <v>170</v>
      </c>
      <c r="I9" s="3"/>
      <c r="J9" s="19">
        <f t="shared" si="7"/>
        <v>170</v>
      </c>
      <c r="K9" s="3">
        <f t="shared" si="8"/>
        <v>560</v>
      </c>
      <c r="L9" s="4">
        <f t="shared" si="9"/>
        <v>850</v>
      </c>
      <c r="M9" s="4">
        <f t="shared" si="10"/>
        <v>2800</v>
      </c>
      <c r="N9" s="13" t="str">
        <f t="shared" si="11"/>
        <v>KEEP SELLING</v>
      </c>
    </row>
    <row r="10" spans="1:20" ht="18" customHeight="1" x14ac:dyDescent="0.2">
      <c r="A10" s="16" t="s">
        <v>24</v>
      </c>
      <c r="B10" s="16" t="s">
        <v>36</v>
      </c>
      <c r="C10" s="17" t="s">
        <v>31</v>
      </c>
      <c r="D10" s="17" t="s">
        <v>31</v>
      </c>
      <c r="E10" s="18">
        <v>5</v>
      </c>
      <c r="F10" s="15">
        <v>1060</v>
      </c>
      <c r="G10" s="2">
        <f t="shared" si="6"/>
        <v>5300</v>
      </c>
      <c r="H10" s="3">
        <v>250</v>
      </c>
      <c r="I10" s="3"/>
      <c r="J10" s="19">
        <f t="shared" si="7"/>
        <v>250</v>
      </c>
      <c r="K10" s="3">
        <f t="shared" si="8"/>
        <v>810</v>
      </c>
      <c r="L10" s="4">
        <f t="shared" si="9"/>
        <v>1250</v>
      </c>
      <c r="M10" s="4">
        <f t="shared" si="10"/>
        <v>4050</v>
      </c>
      <c r="N10" s="13" t="str">
        <f t="shared" si="11"/>
        <v>KEEP SELLING</v>
      </c>
    </row>
    <row r="11" spans="1:20" ht="18" customHeight="1" x14ac:dyDescent="0.2">
      <c r="A11" s="16" t="s">
        <v>24</v>
      </c>
      <c r="B11" s="16" t="s">
        <v>36</v>
      </c>
      <c r="C11" s="17" t="s">
        <v>32</v>
      </c>
      <c r="D11" s="17" t="s">
        <v>32</v>
      </c>
      <c r="E11" s="18">
        <v>5</v>
      </c>
      <c r="F11" s="15">
        <v>401</v>
      </c>
      <c r="G11" s="2">
        <f t="shared" si="6"/>
        <v>2005</v>
      </c>
      <c r="H11" s="3">
        <v>182</v>
      </c>
      <c r="I11" s="3">
        <v>100</v>
      </c>
      <c r="J11" s="19">
        <f t="shared" si="7"/>
        <v>282</v>
      </c>
      <c r="K11" s="3">
        <f t="shared" si="8"/>
        <v>119</v>
      </c>
      <c r="L11" s="4">
        <f t="shared" si="9"/>
        <v>1410</v>
      </c>
      <c r="M11" s="4">
        <f t="shared" si="10"/>
        <v>595</v>
      </c>
      <c r="N11" s="13" t="str">
        <f t="shared" si="11"/>
        <v>KEEP SELLING</v>
      </c>
    </row>
    <row r="12" spans="1:20" ht="18" customHeight="1" x14ac:dyDescent="0.2">
      <c r="A12" s="16" t="s">
        <v>24</v>
      </c>
      <c r="B12" s="16" t="s">
        <v>36</v>
      </c>
      <c r="C12" s="17" t="s">
        <v>33</v>
      </c>
      <c r="D12" s="17" t="s">
        <v>33</v>
      </c>
      <c r="E12" s="18">
        <v>30</v>
      </c>
      <c r="F12" s="15">
        <v>15</v>
      </c>
      <c r="G12" s="2">
        <f t="shared" si="6"/>
        <v>450</v>
      </c>
      <c r="H12" s="3"/>
      <c r="I12" s="3"/>
      <c r="J12" s="19">
        <f t="shared" si="7"/>
        <v>0</v>
      </c>
      <c r="K12" s="3">
        <f t="shared" si="8"/>
        <v>15</v>
      </c>
      <c r="L12" s="4">
        <f t="shared" si="9"/>
        <v>0</v>
      </c>
      <c r="M12" s="4">
        <f t="shared" si="10"/>
        <v>450</v>
      </c>
      <c r="N12" s="13" t="str">
        <f t="shared" si="11"/>
        <v>KEEP SELLING</v>
      </c>
    </row>
    <row r="13" spans="1:20" ht="18" customHeight="1" x14ac:dyDescent="0.2">
      <c r="A13" s="16" t="s">
        <v>24</v>
      </c>
      <c r="B13" s="16" t="s">
        <v>36</v>
      </c>
      <c r="C13" s="17" t="s">
        <v>34</v>
      </c>
      <c r="D13" s="17" t="s">
        <v>34</v>
      </c>
      <c r="E13" s="18">
        <v>30</v>
      </c>
      <c r="F13" s="15">
        <v>154</v>
      </c>
      <c r="G13" s="2">
        <f t="shared" si="6"/>
        <v>4620</v>
      </c>
      <c r="H13" s="3"/>
      <c r="I13" s="3"/>
      <c r="J13" s="19">
        <f t="shared" si="7"/>
        <v>0</v>
      </c>
      <c r="K13" s="3">
        <f t="shared" si="8"/>
        <v>154</v>
      </c>
      <c r="L13" s="4">
        <f t="shared" si="9"/>
        <v>0</v>
      </c>
      <c r="M13" s="4">
        <f t="shared" si="10"/>
        <v>4620</v>
      </c>
      <c r="N13" s="13" t="str">
        <f t="shared" si="11"/>
        <v>KEEP SELLING</v>
      </c>
    </row>
    <row r="14" spans="1:20" ht="18" customHeight="1" x14ac:dyDescent="0.2">
      <c r="A14" s="16" t="s">
        <v>24</v>
      </c>
      <c r="B14" s="16" t="s">
        <v>36</v>
      </c>
      <c r="C14" s="17" t="s">
        <v>35</v>
      </c>
      <c r="D14" s="17" t="s">
        <v>35</v>
      </c>
      <c r="E14" s="18">
        <v>80</v>
      </c>
      <c r="F14" s="15">
        <v>529</v>
      </c>
      <c r="G14" s="2">
        <f t="shared" si="6"/>
        <v>42320</v>
      </c>
      <c r="H14" s="3"/>
      <c r="I14" s="3"/>
      <c r="J14" s="19">
        <f t="shared" si="7"/>
        <v>0</v>
      </c>
      <c r="K14" s="3">
        <f t="shared" si="8"/>
        <v>529</v>
      </c>
      <c r="L14" s="4">
        <f t="shared" si="9"/>
        <v>0</v>
      </c>
      <c r="M14" s="4">
        <f t="shared" si="10"/>
        <v>42320</v>
      </c>
      <c r="N14" s="13" t="str">
        <f t="shared" si="11"/>
        <v>KEEP SELLING</v>
      </c>
    </row>
    <row r="15" spans="1:20" ht="18" customHeight="1" x14ac:dyDescent="0.2">
      <c r="A15" s="16" t="s">
        <v>25</v>
      </c>
      <c r="B15" s="16" t="s">
        <v>23</v>
      </c>
      <c r="C15" s="17" t="s">
        <v>26</v>
      </c>
      <c r="D15" s="17" t="s">
        <v>26</v>
      </c>
      <c r="E15" s="18">
        <v>3</v>
      </c>
      <c r="F15" s="15">
        <v>7224</v>
      </c>
      <c r="G15" s="2">
        <f t="shared" si="6"/>
        <v>21672</v>
      </c>
      <c r="H15" s="3"/>
      <c r="I15" s="3">
        <v>3000</v>
      </c>
      <c r="J15" s="19">
        <f t="shared" si="7"/>
        <v>3000</v>
      </c>
      <c r="K15" s="3">
        <f t="shared" si="8"/>
        <v>4224</v>
      </c>
      <c r="L15" s="4">
        <f t="shared" si="9"/>
        <v>9000</v>
      </c>
      <c r="M15" s="4">
        <f t="shared" si="10"/>
        <v>12672</v>
      </c>
      <c r="N15" s="13" t="str">
        <f t="shared" si="11"/>
        <v>KEEP SELLING</v>
      </c>
    </row>
    <row r="16" spans="1:20" ht="18" customHeight="1" x14ac:dyDescent="0.2">
      <c r="A16" s="16" t="s">
        <v>25</v>
      </c>
      <c r="B16" s="16" t="s">
        <v>23</v>
      </c>
      <c r="C16" s="17" t="s">
        <v>28</v>
      </c>
      <c r="D16" s="17" t="s">
        <v>28</v>
      </c>
      <c r="E16" s="18">
        <v>3</v>
      </c>
      <c r="F16" s="15">
        <v>7869</v>
      </c>
      <c r="G16" s="2">
        <f t="shared" si="6"/>
        <v>23607</v>
      </c>
      <c r="H16" s="3">
        <v>12000</v>
      </c>
      <c r="I16" s="3"/>
      <c r="J16" s="19">
        <f t="shared" si="7"/>
        <v>12000</v>
      </c>
      <c r="K16" s="3">
        <f t="shared" si="8"/>
        <v>-4131</v>
      </c>
      <c r="L16" s="4">
        <f t="shared" si="9"/>
        <v>36000</v>
      </c>
      <c r="M16" s="4">
        <f t="shared" si="10"/>
        <v>-12393</v>
      </c>
      <c r="N16" s="13" t="str">
        <f t="shared" si="11"/>
        <v>DO NOT SELL</v>
      </c>
    </row>
  </sheetData>
  <conditionalFormatting sqref="H2:N16">
    <cfRule type="cellIs" dxfId="5" priority="1" operator="lessThan">
      <formula>0</formula>
    </cfRule>
  </conditionalFormatting>
  <conditionalFormatting sqref="N1:N1048576">
    <cfRule type="containsText" dxfId="4" priority="4" operator="containsText" text="DO NOT SELL">
      <formula>NOT(ISERROR(SEARCH("DO NOT SELL",N1)))</formula>
    </cfRule>
    <cfRule type="containsText" dxfId="3" priority="5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  <ignoredErrors>
    <ignoredError sqref="Q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R4"/>
  <sheetViews>
    <sheetView showGridLines="0" topLeftCell="B1" zoomScale="130" zoomScaleNormal="130" workbookViewId="0">
      <pane ySplit="1" topLeftCell="A2" activePane="bottomLeft" state="frozen"/>
      <selection pane="bottomLeft" activeCell="J3" sqref="J3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0.42578125" bestFit="1" customWidth="1"/>
  </cols>
  <sheetData>
    <row r="1" spans="1:18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1">
        <v>1322</v>
      </c>
    </row>
    <row r="2" spans="1:18" ht="18" customHeight="1" x14ac:dyDescent="0.2">
      <c r="A2" s="16" t="s">
        <v>14</v>
      </c>
      <c r="B2" s="14" t="s">
        <v>13</v>
      </c>
      <c r="C2" s="17" t="s">
        <v>16</v>
      </c>
      <c r="D2" s="17" t="s">
        <v>16</v>
      </c>
      <c r="E2" s="18">
        <v>80</v>
      </c>
      <c r="F2" s="15">
        <v>1</v>
      </c>
      <c r="G2" s="2">
        <f t="shared" ref="G2:G4" si="0">E2*F2</f>
        <v>80</v>
      </c>
      <c r="H2" s="3"/>
      <c r="I2" s="3">
        <v>40</v>
      </c>
      <c r="J2" s="3">
        <f t="shared" ref="J2:J4" si="1">H2+I2</f>
        <v>40</v>
      </c>
      <c r="K2" s="3">
        <f t="shared" ref="K2:K3" si="2">F2-J2</f>
        <v>-39</v>
      </c>
      <c r="L2" s="4">
        <f t="shared" ref="L2:L3" si="3">J2*E2</f>
        <v>3200</v>
      </c>
      <c r="M2" s="4">
        <f t="shared" ref="M2:M3" si="4">G2-L2</f>
        <v>-3120</v>
      </c>
      <c r="N2" s="13" t="str">
        <f t="shared" ref="N2:N3" si="5">IF(M2&gt;0,"KEEP SELLING", "DO NOT SELL")</f>
        <v>DO NOT SELL</v>
      </c>
      <c r="P2" s="10">
        <f>SUM(G2:G4)</f>
        <v>18540</v>
      </c>
      <c r="Q2" s="9">
        <f>SUM(L2:L4)</f>
        <v>7900</v>
      </c>
      <c r="R2" s="12">
        <f>P2-Q2</f>
        <v>10640</v>
      </c>
    </row>
    <row r="3" spans="1:18" ht="18" customHeight="1" x14ac:dyDescent="0.2">
      <c r="A3" s="16" t="s">
        <v>15</v>
      </c>
      <c r="B3" s="14" t="s">
        <v>13</v>
      </c>
      <c r="C3" s="17" t="s">
        <v>17</v>
      </c>
      <c r="D3" s="17" t="s">
        <v>17</v>
      </c>
      <c r="E3" s="18">
        <v>120</v>
      </c>
      <c r="F3" s="15">
        <v>138</v>
      </c>
      <c r="G3" s="2">
        <f t="shared" si="0"/>
        <v>16560</v>
      </c>
      <c r="H3" s="3"/>
      <c r="I3" s="3">
        <v>5</v>
      </c>
      <c r="J3" s="3">
        <f t="shared" si="1"/>
        <v>5</v>
      </c>
      <c r="K3" s="3">
        <f t="shared" si="2"/>
        <v>133</v>
      </c>
      <c r="L3" s="4">
        <f t="shared" si="3"/>
        <v>600</v>
      </c>
      <c r="M3" s="4">
        <f t="shared" si="4"/>
        <v>15960</v>
      </c>
      <c r="N3" s="13" t="str">
        <f t="shared" si="5"/>
        <v>KEEP SELLING</v>
      </c>
      <c r="P3" s="10"/>
      <c r="Q3" s="9"/>
    </row>
    <row r="4" spans="1:18" ht="18" customHeight="1" x14ac:dyDescent="0.2">
      <c r="A4" s="14" t="s">
        <v>15</v>
      </c>
      <c r="B4" s="14" t="s">
        <v>13</v>
      </c>
      <c r="C4" s="17" t="s">
        <v>18</v>
      </c>
      <c r="D4" s="17" t="s">
        <v>18</v>
      </c>
      <c r="E4" s="18">
        <v>100</v>
      </c>
      <c r="F4" s="15">
        <v>19</v>
      </c>
      <c r="G4" s="2">
        <f t="shared" si="0"/>
        <v>1900</v>
      </c>
      <c r="H4" s="3"/>
      <c r="I4" s="3">
        <v>41</v>
      </c>
      <c r="J4" s="3">
        <f t="shared" si="1"/>
        <v>41</v>
      </c>
      <c r="K4" s="3">
        <f t="shared" ref="K4" si="6">F4-J4</f>
        <v>-22</v>
      </c>
      <c r="L4" s="4">
        <f t="shared" ref="L4" si="7">J4*E4</f>
        <v>4100</v>
      </c>
      <c r="M4" s="4">
        <f t="shared" ref="M4" si="8">G4-L4</f>
        <v>-2200</v>
      </c>
      <c r="N4" s="13" t="str">
        <f t="shared" ref="N4" si="9">IF(M4&gt;0,"KEEP SELLING", "DO NOT SELL")</f>
        <v>DO NOT SELL</v>
      </c>
      <c r="P4" s="10"/>
      <c r="Q4" s="9"/>
    </row>
  </sheetData>
  <conditionalFormatting sqref="H2:I4 K2:N4">
    <cfRule type="cellIs" dxfId="2" priority="1" operator="lessThan">
      <formula>0</formula>
    </cfRule>
  </conditionalFormatting>
  <conditionalFormatting sqref="N1:N1048576">
    <cfRule type="containsText" dxfId="1" priority="24" operator="containsText" text="DO NOT SELL">
      <formula>NOT(ISERROR(SEARCH("DO NOT SELL",N1)))</formula>
    </cfRule>
    <cfRule type="containsText" dxfId="0" priority="25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sending to samsung</vt:lpstr>
      <vt:lpstr>As of 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2026-02-06T21:21:33Z</dcterms:modified>
  <cp:category/>
  <cp:contentStatus/>
</cp:coreProperties>
</file>