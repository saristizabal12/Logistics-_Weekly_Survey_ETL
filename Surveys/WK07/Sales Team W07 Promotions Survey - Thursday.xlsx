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7\"/>
    </mc:Choice>
  </mc:AlternateContent>
  <xr:revisionPtr revIDLastSave="0" documentId="13_ncr:1_{EA9F5217-14DF-4071-A215-A575FAF67F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4" l="1"/>
  <c r="K16" i="14" s="1"/>
  <c r="G16" i="14"/>
  <c r="J15" i="14"/>
  <c r="L15" i="14" s="1"/>
  <c r="G15" i="14"/>
  <c r="J14" i="14"/>
  <c r="K14" i="14" s="1"/>
  <c r="G14" i="14"/>
  <c r="J13" i="14"/>
  <c r="L13" i="14" s="1"/>
  <c r="G13" i="14"/>
  <c r="J12" i="14"/>
  <c r="L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K8" i="14" s="1"/>
  <c r="G8" i="14"/>
  <c r="J7" i="14"/>
  <c r="K7" i="14" s="1"/>
  <c r="G7" i="14"/>
  <c r="J6" i="14"/>
  <c r="K6" i="14" s="1"/>
  <c r="G6" i="14"/>
  <c r="J5" i="14"/>
  <c r="L5" i="14" s="1"/>
  <c r="G5" i="14"/>
  <c r="J4" i="14"/>
  <c r="K4" i="14" s="1"/>
  <c r="J3" i="14"/>
  <c r="K3" i="14" s="1"/>
  <c r="J2" i="14"/>
  <c r="K2" i="14" s="1"/>
  <c r="M9" i="14" l="1"/>
  <c r="N9" i="14" s="1"/>
  <c r="M5" i="14"/>
  <c r="N5" i="14" s="1"/>
  <c r="P3" i="14"/>
  <c r="M15" i="14"/>
  <c r="N15" i="14" s="1"/>
  <c r="P4" i="14"/>
  <c r="M12" i="14"/>
  <c r="N12" i="14" s="1"/>
  <c r="M13" i="14"/>
  <c r="N13" i="14" s="1"/>
  <c r="M11" i="14"/>
  <c r="N11" i="14" s="1"/>
  <c r="M10" i="14"/>
  <c r="N10" i="14" s="1"/>
  <c r="K12" i="14"/>
  <c r="L8" i="14"/>
  <c r="M8" i="14" s="1"/>
  <c r="N8" i="14" s="1"/>
  <c r="L16" i="14"/>
  <c r="M16" i="14" s="1"/>
  <c r="N16" i="14" s="1"/>
  <c r="K5" i="14"/>
  <c r="K11" i="14"/>
  <c r="K13" i="14"/>
  <c r="K15" i="14"/>
  <c r="K10" i="14"/>
  <c r="L6" i="14"/>
  <c r="M6" i="14" s="1"/>
  <c r="N6" i="14" s="1"/>
  <c r="L14" i="14"/>
  <c r="M14" i="14" s="1"/>
  <c r="N14" i="14" s="1"/>
  <c r="K9" i="14"/>
  <c r="L7" i="14"/>
  <c r="M7" i="14" s="1"/>
  <c r="N7" i="14" s="1"/>
  <c r="L4" i="14"/>
  <c r="G4" i="14"/>
  <c r="L3" i="14"/>
  <c r="G3" i="14"/>
  <c r="G2" i="14"/>
  <c r="Q4" i="14" l="1"/>
  <c r="T2" i="14" s="1"/>
  <c r="Q3" i="14"/>
  <c r="S2" i="14" s="1"/>
  <c r="M4" i="14"/>
  <c r="N4" i="14" s="1"/>
  <c r="P2" i="14"/>
  <c r="M3" i="14"/>
  <c r="N3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<sst xmlns="http://schemas.openxmlformats.org/spreadsheetml/2006/main" count="77" uniqueCount="35">
  <si>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</si>
  <si>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</si>
  <si>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</si>
  <si>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</si>
  <si>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</si>
  <si>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</si>
  <si>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</si>
  <si>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</si>
  <si>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</si>
  <si>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</si>
  <si>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</si>
  <si>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</si>
  <si>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</si>
  <si>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G-Z-FLIP7</t>
  </si>
  <si>
    <t>G-Z-FLIP7-FE</t>
  </si>
  <si>
    <t>G-Z-FOLD7</t>
  </si>
  <si>
    <t>0047</t>
  </si>
  <si>
    <t>0074</t>
  </si>
  <si>
    <t>A0S3A0A250000047</t>
  </si>
  <si>
    <t>VITEL W5-W7 Foldables Series Sustain ST Promo</t>
  </si>
  <si>
    <t>A0S3A0A250000074</t>
  </si>
  <si>
    <t>A06</t>
  </si>
  <si>
    <t>A07</t>
  </si>
  <si>
    <t>A16</t>
  </si>
  <si>
    <t>A17</t>
  </si>
  <si>
    <t>A26</t>
  </si>
  <si>
    <t>A36</t>
  </si>
  <si>
    <t>A56</t>
  </si>
  <si>
    <t>S25</t>
  </si>
  <si>
    <t>S25+</t>
  </si>
  <si>
    <t>S25 ULTRA</t>
  </si>
  <si>
    <t>VITEL W5-W7 Venezuela</t>
  </si>
  <si>
    <t>0112</t>
  </si>
  <si>
    <t>A0S3A0A250000112</t>
  </si>
  <si>
    <t>VITEL W7 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</si>
</sst>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16"/>
  <sheetViews>
    <sheetView showGridLines="0" tabSelected="1" topLeftCell="B1" zoomScaleNormal="100" workbookViewId="0">
      <pane ySplit="1" topLeftCell="A2" activePane="bottomLeft" state="frozen"/>
      <selection pane="bottomLeft" activeCell="L10" sqref="L10"/>
    </sheetView>
  </sheetViews>
  <sheetFormatPr defaultRowHeight="18" customHeight="1" x14ac:dyDescent="0.2"/>
  <cols>
    <col min="1" max="1" width="20.140625" bestFit="1" customWidth="1"/>
    <col min="2" max="2" width="44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0.42578125" bestFit="1" customWidth="1"/>
    <col min="19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1" t="s">
        <v>16</v>
      </c>
      <c r="S1" s="11" t="s">
        <v>17</v>
      </c>
      <c r="T1" s="11" t="s">
        <v>32</v>
      </c>
    </row>
    <row r="2" spans="1:20" ht="18" customHeight="1" x14ac:dyDescent="0.2">
      <c r="A2" s="15" t="s">
        <v>18</v>
      </c>
      <c r="B2" s="15" t="s">
        <v>19</v>
      </c>
      <c r="C2" s="16" t="s">
        <v>13</v>
      </c>
      <c r="D2" s="16" t="s">
        <v>13</v>
      </c>
      <c r="E2" s="17">
        <v>80</v>
      </c>
      <c r="F2" s="14">
        <v>15</v>
      </c>
      <c r="G2" s="2">
        <f t="shared" ref="G2:G4" si="0">E2*F2</f>
        <v>1200</v>
      </c>
      <c r="H2" s="3">
        <v>15</v>
      </c>
      <c r="I2" s="3"/>
      <c r="J2" s="18">
        <f>H2+I2</f>
        <v>15</v>
      </c>
      <c r="K2" s="3">
        <f>F2-J2</f>
        <v>0</v>
      </c>
      <c r="L2" s="4">
        <f t="shared" ref="L2:L4" si="1">J2*E2</f>
        <v>1200</v>
      </c>
      <c r="M2" s="4">
        <f t="shared" ref="M2:M4" si="2">G2-L2</f>
        <v>0</v>
      </c>
      <c r="N2" s="13" t="str">
        <f t="shared" ref="N2:N4" si="3">IF(M2&gt;0,"KEEP SELLING", "DO NOT SELL")</f>
        <v>DO NOT SELL</v>
      </c>
      <c r="P2" s="10">
        <f>SUM(G2:G4)</f>
        <v>13440</v>
      </c>
      <c r="Q2" s="9">
        <f>SUM(L2:L4)</f>
        <v>9660</v>
      </c>
      <c r="R2" s="12">
        <f>P2-Q2</f>
        <v>3780</v>
      </c>
      <c r="S2" s="12">
        <f>P3-Q3</f>
        <v>32550</v>
      </c>
      <c r="T2" s="12">
        <f>P4-Q4</f>
        <v>15000</v>
      </c>
    </row>
    <row r="3" spans="1:20" ht="18" customHeight="1" x14ac:dyDescent="0.2">
      <c r="A3" s="15" t="s">
        <v>18</v>
      </c>
      <c r="B3" s="15" t="s">
        <v>19</v>
      </c>
      <c r="C3" s="16" t="s">
        <v>14</v>
      </c>
      <c r="D3" s="16" t="s">
        <v>14</v>
      </c>
      <c r="E3" s="17">
        <v>120</v>
      </c>
      <c r="F3" s="14">
        <v>67</v>
      </c>
      <c r="G3" s="2">
        <f t="shared" si="0"/>
        <v>8040</v>
      </c>
      <c r="H3" s="3">
        <v>41</v>
      </c>
      <c r="I3" s="3">
        <v>17</v>
      </c>
      <c r="J3" s="18">
        <f t="shared" ref="J3:J4" si="4">H3+I3</f>
        <v>58</v>
      </c>
      <c r="K3" s="3">
        <f t="shared" ref="K3:K4" si="5">F3-J3</f>
        <v>9</v>
      </c>
      <c r="L3" s="4">
        <f t="shared" si="1"/>
        <v>6960</v>
      </c>
      <c r="M3" s="4">
        <f t="shared" si="2"/>
        <v>1080</v>
      </c>
      <c r="N3" s="13" t="str">
        <f t="shared" si="3"/>
        <v>KEEP SELLING</v>
      </c>
      <c r="P3" s="10">
        <f>SUM(G5:G14)</f>
        <v>54270</v>
      </c>
      <c r="Q3" s="9">
        <f>SUM(L5:L14)</f>
        <v>21720</v>
      </c>
    </row>
    <row r="4" spans="1:20" ht="18" customHeight="1" x14ac:dyDescent="0.2">
      <c r="A4" s="15" t="s">
        <v>18</v>
      </c>
      <c r="B4" s="15" t="s">
        <v>19</v>
      </c>
      <c r="C4" s="16" t="s">
        <v>15</v>
      </c>
      <c r="D4" s="16" t="s">
        <v>15</v>
      </c>
      <c r="E4" s="17">
        <v>100</v>
      </c>
      <c r="F4" s="14">
        <v>42</v>
      </c>
      <c r="G4" s="2">
        <f t="shared" si="0"/>
        <v>4200</v>
      </c>
      <c r="H4" s="3">
        <v>5</v>
      </c>
      <c r="I4" s="3">
        <v>10</v>
      </c>
      <c r="J4" s="18">
        <f t="shared" si="4"/>
        <v>15</v>
      </c>
      <c r="K4" s="3">
        <f t="shared" si="5"/>
        <v>27</v>
      </c>
      <c r="L4" s="4">
        <f t="shared" si="1"/>
        <v>1500</v>
      </c>
      <c r="M4" s="4">
        <f t="shared" si="2"/>
        <v>2700</v>
      </c>
      <c r="N4" s="13" t="str">
        <f t="shared" si="3"/>
        <v>KEEP SELLING</v>
      </c>
      <c r="P4" s="10">
        <f>SUM(G15:G16)</f>
        <v>39930</v>
      </c>
      <c r="Q4" s="9">
        <f>SUM(L15:L16)</f>
        <v>24930</v>
      </c>
    </row>
    <row r="5" spans="1:20" ht="18" customHeight="1" x14ac:dyDescent="0.2">
      <c r="A5" s="15" t="s">
        <v>20</v>
      </c>
      <c r="B5" s="15" t="s">
        <v>31</v>
      </c>
      <c r="C5" s="16" t="s">
        <v>21</v>
      </c>
      <c r="D5" s="16" t="s">
        <v>21</v>
      </c>
      <c r="E5" s="17">
        <v>5</v>
      </c>
      <c r="F5" s="14">
        <v>2360</v>
      </c>
      <c r="G5" s="2">
        <f t="shared" ref="G5:G16" si="6">E5*F5</f>
        <v>11800</v>
      </c>
      <c r="H5" s="3">
        <v>1760</v>
      </c>
      <c r="I5" s="3"/>
      <c r="J5" s="18">
        <f t="shared" ref="J5:J16" si="7">H5+I5</f>
        <v>1760</v>
      </c>
      <c r="K5" s="3">
        <f t="shared" ref="K5:K16" si="8">F5-J5</f>
        <v>600</v>
      </c>
      <c r="L5" s="4">
        <f t="shared" ref="L5:L16" si="9">J5*E5</f>
        <v>8800</v>
      </c>
      <c r="M5" s="4">
        <f t="shared" ref="M5:M16" si="10">G5-L5</f>
        <v>3000</v>
      </c>
      <c r="N5" s="13" t="str">
        <f t="shared" ref="N5:N16" si="11">IF(M5&gt;0,"KEEP SELLING", "DO NOT SELL")</f>
        <v>KEEP SELLING</v>
      </c>
    </row>
    <row r="6" spans="1:20" ht="18" customHeight="1" x14ac:dyDescent="0.2">
      <c r="A6" s="15" t="s">
        <v>20</v>
      </c>
      <c r="B6" s="15" t="s">
        <v>31</v>
      </c>
      <c r="C6" s="16" t="s">
        <v>22</v>
      </c>
      <c r="D6" s="16" t="s">
        <v>22</v>
      </c>
      <c r="E6" s="17">
        <v>5</v>
      </c>
      <c r="F6" s="14">
        <v>400</v>
      </c>
      <c r="G6" s="2">
        <f t="shared" si="6"/>
        <v>2000</v>
      </c>
      <c r="H6" s="3"/>
      <c r="I6" s="3">
        <v>400</v>
      </c>
      <c r="J6" s="18">
        <f t="shared" si="7"/>
        <v>400</v>
      </c>
      <c r="K6" s="3">
        <f t="shared" si="8"/>
        <v>0</v>
      </c>
      <c r="L6" s="4">
        <f t="shared" si="9"/>
        <v>2000</v>
      </c>
      <c r="M6" s="4">
        <f t="shared" si="10"/>
        <v>0</v>
      </c>
      <c r="N6" s="13" t="str">
        <f t="shared" si="11"/>
        <v>DO NOT SELL</v>
      </c>
    </row>
    <row r="7" spans="1:20" ht="18" customHeight="1" x14ac:dyDescent="0.2">
      <c r="A7" s="15" t="s">
        <v>20</v>
      </c>
      <c r="B7" s="15" t="s">
        <v>31</v>
      </c>
      <c r="C7" s="16" t="s">
        <v>23</v>
      </c>
      <c r="D7" s="16" t="s">
        <v>23</v>
      </c>
      <c r="E7" s="17">
        <v>2</v>
      </c>
      <c r="F7" s="14">
        <v>4040</v>
      </c>
      <c r="G7" s="2">
        <f t="shared" si="6"/>
        <v>8080</v>
      </c>
      <c r="H7" s="3">
        <v>940</v>
      </c>
      <c r="I7" s="3">
        <v>260</v>
      </c>
      <c r="J7" s="18">
        <f t="shared" si="7"/>
        <v>1200</v>
      </c>
      <c r="K7" s="3">
        <f t="shared" si="8"/>
        <v>2840</v>
      </c>
      <c r="L7" s="4">
        <f t="shared" si="9"/>
        <v>2400</v>
      </c>
      <c r="M7" s="4">
        <f t="shared" si="10"/>
        <v>5680</v>
      </c>
      <c r="N7" s="13" t="str">
        <f t="shared" si="11"/>
        <v>KEEP SELLING</v>
      </c>
    </row>
    <row r="8" spans="1:20" ht="18" customHeight="1" x14ac:dyDescent="0.2">
      <c r="A8" s="15" t="s">
        <v>20</v>
      </c>
      <c r="B8" s="15" t="s">
        <v>31</v>
      </c>
      <c r="C8" s="16" t="s">
        <v>24</v>
      </c>
      <c r="D8" s="16" t="s">
        <v>24</v>
      </c>
      <c r="E8" s="17">
        <v>5</v>
      </c>
      <c r="F8" s="14">
        <v>791</v>
      </c>
      <c r="G8" s="2">
        <f t="shared" si="6"/>
        <v>3955</v>
      </c>
      <c r="H8" s="3">
        <v>191</v>
      </c>
      <c r="I8" s="3">
        <v>300</v>
      </c>
      <c r="J8" s="18">
        <f t="shared" si="7"/>
        <v>491</v>
      </c>
      <c r="K8" s="3">
        <f t="shared" si="8"/>
        <v>300</v>
      </c>
      <c r="L8" s="4">
        <f t="shared" si="9"/>
        <v>2455</v>
      </c>
      <c r="M8" s="4">
        <f t="shared" si="10"/>
        <v>1500</v>
      </c>
      <c r="N8" s="13" t="str">
        <f t="shared" si="11"/>
        <v>KEEP SELLING</v>
      </c>
    </row>
    <row r="9" spans="1:20" ht="18" customHeight="1" x14ac:dyDescent="0.2">
      <c r="A9" s="15" t="s">
        <v>20</v>
      </c>
      <c r="B9" s="15" t="s">
        <v>31</v>
      </c>
      <c r="C9" s="16" t="s">
        <v>25</v>
      </c>
      <c r="D9" s="16" t="s">
        <v>25</v>
      </c>
      <c r="E9" s="17">
        <v>5</v>
      </c>
      <c r="F9" s="14">
        <v>466</v>
      </c>
      <c r="G9" s="2">
        <f t="shared" si="6"/>
        <v>2330</v>
      </c>
      <c r="H9" s="3">
        <v>170</v>
      </c>
      <c r="I9" s="3">
        <v>296</v>
      </c>
      <c r="J9" s="18">
        <f t="shared" si="7"/>
        <v>466</v>
      </c>
      <c r="K9" s="3">
        <f t="shared" si="8"/>
        <v>0</v>
      </c>
      <c r="L9" s="4">
        <f t="shared" si="9"/>
        <v>2330</v>
      </c>
      <c r="M9" s="4">
        <f t="shared" si="10"/>
        <v>0</v>
      </c>
      <c r="N9" s="13" t="str">
        <f t="shared" si="11"/>
        <v>DO NOT SELL</v>
      </c>
    </row>
    <row r="10" spans="1:20" ht="18" customHeight="1" x14ac:dyDescent="0.2">
      <c r="A10" s="15" t="s">
        <v>20</v>
      </c>
      <c r="B10" s="15" t="s">
        <v>31</v>
      </c>
      <c r="C10" s="16" t="s">
        <v>26</v>
      </c>
      <c r="D10" s="16" t="s">
        <v>26</v>
      </c>
      <c r="E10" s="17">
        <v>5</v>
      </c>
      <c r="F10" s="14">
        <v>710</v>
      </c>
      <c r="G10" s="2">
        <f t="shared" si="6"/>
        <v>3550</v>
      </c>
      <c r="H10" s="3">
        <v>250</v>
      </c>
      <c r="I10" s="3">
        <v>160</v>
      </c>
      <c r="J10" s="18">
        <f t="shared" si="7"/>
        <v>410</v>
      </c>
      <c r="K10" s="3">
        <f t="shared" si="8"/>
        <v>300</v>
      </c>
      <c r="L10" s="4">
        <f t="shared" si="9"/>
        <v>2050</v>
      </c>
      <c r="M10" s="4">
        <f t="shared" si="10"/>
        <v>1500</v>
      </c>
      <c r="N10" s="13" t="str">
        <f t="shared" si="11"/>
        <v>KEEP SELLING</v>
      </c>
    </row>
    <row r="11" spans="1:20" ht="18" customHeight="1" x14ac:dyDescent="0.2">
      <c r="A11" s="15" t="s">
        <v>20</v>
      </c>
      <c r="B11" s="15" t="s">
        <v>31</v>
      </c>
      <c r="C11" s="16" t="s">
        <v>27</v>
      </c>
      <c r="D11" s="16" t="s">
        <v>27</v>
      </c>
      <c r="E11" s="17">
        <v>5</v>
      </c>
      <c r="F11" s="14">
        <v>401</v>
      </c>
      <c r="G11" s="2">
        <f t="shared" si="6"/>
        <v>2005</v>
      </c>
      <c r="H11" s="3">
        <v>282</v>
      </c>
      <c r="I11" s="3">
        <v>55</v>
      </c>
      <c r="J11" s="18">
        <f t="shared" si="7"/>
        <v>337</v>
      </c>
      <c r="K11" s="3">
        <f t="shared" si="8"/>
        <v>64</v>
      </c>
      <c r="L11" s="4">
        <f t="shared" si="9"/>
        <v>1685</v>
      </c>
      <c r="M11" s="4">
        <f t="shared" si="10"/>
        <v>320</v>
      </c>
      <c r="N11" s="13" t="str">
        <f t="shared" si="11"/>
        <v>KEEP SELLING</v>
      </c>
    </row>
    <row r="12" spans="1:20" ht="18" customHeight="1" x14ac:dyDescent="0.2">
      <c r="A12" s="15" t="s">
        <v>20</v>
      </c>
      <c r="B12" s="15" t="s">
        <v>31</v>
      </c>
      <c r="C12" s="16" t="s">
        <v>28</v>
      </c>
      <c r="D12" s="16" t="s">
        <v>28</v>
      </c>
      <c r="E12" s="17">
        <v>30</v>
      </c>
      <c r="F12" s="14">
        <v>15</v>
      </c>
      <c r="G12" s="2">
        <f t="shared" si="6"/>
        <v>450</v>
      </c>
      <c r="H12" s="3"/>
      <c r="I12" s="3"/>
      <c r="J12" s="18">
        <f t="shared" si="7"/>
        <v>0</v>
      </c>
      <c r="K12" s="3">
        <f t="shared" si="8"/>
        <v>15</v>
      </c>
      <c r="L12" s="4">
        <f t="shared" si="9"/>
        <v>0</v>
      </c>
      <c r="M12" s="4">
        <f t="shared" si="10"/>
        <v>450</v>
      </c>
      <c r="N12" s="13" t="str">
        <f t="shared" si="11"/>
        <v>KEEP SELLING</v>
      </c>
    </row>
    <row r="13" spans="1:20" ht="18" customHeight="1" x14ac:dyDescent="0.2">
      <c r="A13" s="15" t="s">
        <v>20</v>
      </c>
      <c r="B13" s="15" t="s">
        <v>31</v>
      </c>
      <c r="C13" s="16" t="s">
        <v>29</v>
      </c>
      <c r="D13" s="16" t="s">
        <v>29</v>
      </c>
      <c r="E13" s="17">
        <v>30</v>
      </c>
      <c r="F13" s="14">
        <v>30</v>
      </c>
      <c r="G13" s="2">
        <f t="shared" si="6"/>
        <v>900</v>
      </c>
      <c r="H13" s="3"/>
      <c r="I13" s="3"/>
      <c r="J13" s="18">
        <f t="shared" si="7"/>
        <v>0</v>
      </c>
      <c r="K13" s="3">
        <f t="shared" si="8"/>
        <v>30</v>
      </c>
      <c r="L13" s="4">
        <f t="shared" si="9"/>
        <v>0</v>
      </c>
      <c r="M13" s="4">
        <f t="shared" si="10"/>
        <v>900</v>
      </c>
      <c r="N13" s="13" t="str">
        <f t="shared" si="11"/>
        <v>KEEP SELLING</v>
      </c>
    </row>
    <row r="14" spans="1:20" ht="18" customHeight="1" x14ac:dyDescent="0.2">
      <c r="A14" s="15" t="s">
        <v>20</v>
      </c>
      <c r="B14" s="15" t="s">
        <v>31</v>
      </c>
      <c r="C14" s="16" t="s">
        <v>30</v>
      </c>
      <c r="D14" s="16" t="s">
        <v>30</v>
      </c>
      <c r="E14" s="17">
        <v>80</v>
      </c>
      <c r="F14" s="14">
        <v>240</v>
      </c>
      <c r="G14" s="2">
        <f t="shared" si="6"/>
        <v>19200</v>
      </c>
      <c r="H14" s="3"/>
      <c r="I14" s="3"/>
      <c r="J14" s="18">
        <f t="shared" si="7"/>
        <v>0</v>
      </c>
      <c r="K14" s="3">
        <f t="shared" si="8"/>
        <v>240</v>
      </c>
      <c r="L14" s="4">
        <f t="shared" si="9"/>
        <v>0</v>
      </c>
      <c r="M14" s="4">
        <f t="shared" si="10"/>
        <v>19200</v>
      </c>
      <c r="N14" s="13" t="str">
        <f t="shared" si="11"/>
        <v>KEEP SELLING</v>
      </c>
    </row>
    <row r="15" spans="1:20" ht="18" customHeight="1" x14ac:dyDescent="0.2">
      <c r="A15" s="15" t="s">
        <v>33</v>
      </c>
      <c r="B15" s="15" t="s">
        <v>34</v>
      </c>
      <c r="C15" s="16" t="s">
        <v>21</v>
      </c>
      <c r="D15" s="16" t="s">
        <v>21</v>
      </c>
      <c r="E15" s="17">
        <v>3</v>
      </c>
      <c r="F15" s="14">
        <v>4800</v>
      </c>
      <c r="G15" s="2">
        <f t="shared" si="6"/>
        <v>14400</v>
      </c>
      <c r="H15" s="3">
        <v>2800</v>
      </c>
      <c r="I15" s="3">
        <v>2000</v>
      </c>
      <c r="J15" s="18">
        <f t="shared" si="7"/>
        <v>4800</v>
      </c>
      <c r="K15" s="3">
        <f t="shared" si="8"/>
        <v>0</v>
      </c>
      <c r="L15" s="4">
        <f t="shared" si="9"/>
        <v>14400</v>
      </c>
      <c r="M15" s="4">
        <f t="shared" si="10"/>
        <v>0</v>
      </c>
      <c r="N15" s="13" t="str">
        <f t="shared" si="11"/>
        <v>DO NOT SELL</v>
      </c>
    </row>
    <row r="16" spans="1:20" ht="18" customHeight="1" x14ac:dyDescent="0.2">
      <c r="A16" s="15" t="s">
        <v>33</v>
      </c>
      <c r="B16" s="15" t="s">
        <v>34</v>
      </c>
      <c r="C16" s="16" t="s">
        <v>23</v>
      </c>
      <c r="D16" s="16" t="s">
        <v>23</v>
      </c>
      <c r="E16" s="17">
        <v>3</v>
      </c>
      <c r="F16" s="14">
        <v>8510</v>
      </c>
      <c r="G16" s="2">
        <f t="shared" si="6"/>
        <v>25530</v>
      </c>
      <c r="H16" s="3">
        <v>3050</v>
      </c>
      <c r="I16" s="3">
        <v>460</v>
      </c>
      <c r="J16" s="18">
        <f t="shared" si="7"/>
        <v>3510</v>
      </c>
      <c r="K16" s="3">
        <f t="shared" si="8"/>
        <v>5000</v>
      </c>
      <c r="L16" s="4">
        <f t="shared" si="9"/>
        <v>10530</v>
      </c>
      <c r="M16" s="4">
        <f t="shared" si="10"/>
        <v>15000</v>
      </c>
      <c r="N16" s="13" t="str">
        <f t="shared" si="11"/>
        <v>KEEP SELLING</v>
      </c>
    </row>
  </sheetData>
  <conditionalFormatting sqref="H2:N16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  <ignoredErrors>
    <ignoredError sqref="Q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2026-02-12T22:07:02Z</dcterms:modified>
  <cp:category/>
  <cp:contentStatus/>
</cp:coreProperties>
</file>