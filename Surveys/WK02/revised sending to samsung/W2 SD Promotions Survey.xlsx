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2\"/>
    </mc:Choice>
  </mc:AlternateContent>
  <xr:revisionPtr revIDLastSave="0" documentId="13_ncr:1_{A973BADC-587E-4DEA-8F3F-3409CFE69B3B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<sst xmlns="http://schemas.openxmlformats.org/spreadsheetml/2006/main" count="135" uniqueCount="49">
  <si>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</si>
  <si>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</si>
  <si>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</si>
  <si>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</si>
  <si>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</si>
  <si>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</si>
  <si>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</si>
  <si>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</si>
  <si>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</si>
  <si>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G-A16</t>
  </si>
  <si>
    <t>G-A26-5G</t>
  </si>
  <si>
    <t>G-A36-5G</t>
  </si>
  <si>
    <t>G-A56-5G</t>
  </si>
  <si>
    <t>G-A06</t>
  </si>
  <si>
    <t>G-A07</t>
  </si>
  <si>
    <t>G-A17</t>
  </si>
  <si>
    <t>G-S25</t>
  </si>
  <si>
    <t>G-S25+</t>
  </si>
  <si>
    <t>G-S25-ULTRA</t>
  </si>
  <si>
    <t>G-Z-FLIP7</t>
  </si>
  <si>
    <t>G-Z-FOLD7</t>
  </si>
  <si>
    <t>G-Z-FLIP7-FE</t>
  </si>
  <si>
    <t>G-WATCH8</t>
  </si>
  <si>
    <t>G-WATCH8-CLASSIC</t>
  </si>
  <si>
    <t>A2S3A0A250000479</t>
  </si>
  <si>
    <t>A0S3A0A250001262</t>
  </si>
  <si>
    <t>VITEL W52-W2 Foldables Series Sustain ST Promo</t>
  </si>
  <si>
    <t>A2S3A0A250000480</t>
  </si>
  <si>
    <t>A0S3A0A250001269</t>
  </si>
  <si>
    <t>VITEL W52-W2 Watch8 Sustain ST Promo</t>
  </si>
  <si>
    <t>A2S3A0A250000481</t>
  </si>
  <si>
    <t>A0S3A0A250001277</t>
  </si>
  <si>
    <t>VITEL W52-W2 A16 OM Flash ST Promo</t>
  </si>
  <si>
    <t>A0S3A0A250001283</t>
  </si>
  <si>
    <t>VITEL W52-W2 A Series Peak Season ST Promo</t>
  </si>
  <si>
    <t>A2S3A0A250000483</t>
  </si>
  <si>
    <t>A0S3A0A250001286</t>
  </si>
  <si>
    <t>VITEL W52-W2 VE Special Market Sell-Thru Promotion</t>
  </si>
  <si>
    <t>A2S3A0A250000482</t>
  </si>
  <si>
    <t>A2S3A0A250000494</t>
  </si>
  <si>
    <t>A0S3A0A250001300</t>
  </si>
  <si>
    <t>VITEL W1-W2 S25 Ultra OM ST Promo</t>
  </si>
  <si>
    <t>Incentive</t>
  </si>
  <si>
    <t>AS-IS Amt($)</t>
  </si>
  <si>
    <t>TO-BE Amt($)</t>
  </si>
  <si>
    <t>DELTA Amt($)</t>
  </si>
  <si>
    <t>DELTA Qty</t>
  </si>
  <si>
    <t>TO-BE Qty</t>
  </si>
  <si>
    <t>AS-IS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</si>
</sst>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/mm/dd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6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6" fontId="0" fillId="4" borderId="1" xfId="0" applyNumberForma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topLeftCell="D1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22.42578125" bestFit="1" customWidth="1"/>
    <col min="2" max="2" width="45.7109375" bestFit="1" customWidth="1"/>
    <col min="3" max="3" width="28" bestFit="1" customWidth="1"/>
    <col min="4" max="4" width="32.7109375" bestFit="1" customWidth="1"/>
    <col min="5" max="6" width="16.140625" bestFit="1" customWidth="1"/>
    <col min="7" max="8" width="10.42578125" bestFit="1" customWidth="1"/>
    <col min="9" max="9" width="13.140625" bestFit="1" customWidth="1"/>
    <col min="10" max="10" width="11.140625" bestFit="1" customWidth="1"/>
    <col min="11" max="11" width="13.85546875" bestFit="1" customWidth="1"/>
    <col min="12" max="12" width="11.42578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</v>
      </c>
      <c r="H1" s="1" t="s">
        <v>48</v>
      </c>
      <c r="I1" s="1" t="s">
        <v>43</v>
      </c>
      <c r="J1" s="1" t="s">
        <v>47</v>
      </c>
      <c r="K1" s="1" t="s">
        <v>44</v>
      </c>
      <c r="L1" s="1" t="s">
        <v>46</v>
      </c>
      <c r="M1" s="1" t="s">
        <v>45</v>
      </c>
      <c r="N1" s="1" t="s">
        <v>6</v>
      </c>
      <c r="O1" s="1" t="s">
        <v>7</v>
      </c>
    </row>
    <row r="2" spans="1:15" x14ac:dyDescent="0.2">
      <c r="A2" s="2" t="s">
        <v>25</v>
      </c>
      <c r="B2" s="2" t="s">
        <v>26</v>
      </c>
      <c r="C2" s="2" t="s">
        <v>24</v>
      </c>
      <c r="D2" s="2" t="s">
        <v>8</v>
      </c>
      <c r="E2" s="2" t="s">
        <v>19</v>
      </c>
      <c r="F2" s="2" t="s">
        <v>19</v>
      </c>
      <c r="G2" s="6">
        <v>80</v>
      </c>
      <c r="H2" s="7">
        <v>2</v>
      </c>
      <c r="I2" s="8">
        <v>160</v>
      </c>
      <c r="J2" s="4">
        <v>0</v>
      </c>
      <c r="K2" s="5">
        <f t="shared" ref="K2:K4" si="0">J2*G2</f>
        <v>0</v>
      </c>
      <c r="L2" s="7">
        <f t="shared" ref="L2:L4" si="1">J2-H2</f>
        <v>-2</v>
      </c>
      <c r="M2" s="8">
        <f t="shared" ref="M2:M4" si="2">K2-I2</f>
        <v>-160</v>
      </c>
      <c r="N2" s="3">
        <v>46013</v>
      </c>
      <c r="O2" s="3">
        <v>46033</v>
      </c>
    </row>
    <row r="3" spans="1:15" x14ac:dyDescent="0.2">
      <c r="A3" s="2" t="s">
        <v>25</v>
      </c>
      <c r="B3" s="2" t="s">
        <v>26</v>
      </c>
      <c r="C3" s="2" t="s">
        <v>24</v>
      </c>
      <c r="D3" s="2" t="s">
        <v>8</v>
      </c>
      <c r="E3" s="2" t="s">
        <v>21</v>
      </c>
      <c r="F3" s="2" t="s">
        <v>21</v>
      </c>
      <c r="G3" s="6">
        <v>120</v>
      </c>
      <c r="H3" s="7">
        <v>182</v>
      </c>
      <c r="I3" s="8">
        <v>21840</v>
      </c>
      <c r="J3" s="4">
        <v>41</v>
      </c>
      <c r="K3" s="5">
        <f t="shared" si="0"/>
        <v>4920</v>
      </c>
      <c r="L3" s="7">
        <f t="shared" si="1"/>
        <v>-141</v>
      </c>
      <c r="M3" s="8">
        <f t="shared" si="2"/>
        <v>-16920</v>
      </c>
      <c r="N3" s="3">
        <v>46013</v>
      </c>
      <c r="O3" s="3">
        <v>46033</v>
      </c>
    </row>
    <row r="4" spans="1:15" x14ac:dyDescent="0.2">
      <c r="A4" s="2" t="s">
        <v>25</v>
      </c>
      <c r="B4" s="2" t="s">
        <v>26</v>
      </c>
      <c r="C4" s="2" t="s">
        <v>24</v>
      </c>
      <c r="D4" s="2" t="s">
        <v>8</v>
      </c>
      <c r="E4" s="2" t="s">
        <v>20</v>
      </c>
      <c r="F4" s="2" t="s">
        <v>20</v>
      </c>
      <c r="G4" s="6">
        <v>100</v>
      </c>
      <c r="H4" s="7">
        <v>25</v>
      </c>
      <c r="I4" s="8">
        <v>2500</v>
      </c>
      <c r="J4" s="4">
        <v>20</v>
      </c>
      <c r="K4" s="5">
        <f t="shared" si="0"/>
        <v>2000</v>
      </c>
      <c r="L4" s="7">
        <f t="shared" si="1"/>
        <v>-5</v>
      </c>
      <c r="M4" s="8">
        <f t="shared" si="2"/>
        <v>-500</v>
      </c>
      <c r="N4" s="3">
        <v>46013</v>
      </c>
      <c r="O4" s="3">
        <v>46033</v>
      </c>
    </row>
    <row r="5" spans="1:15" x14ac:dyDescent="0.2">
      <c r="A5" s="2" t="s">
        <v>28</v>
      </c>
      <c r="B5" s="2" t="s">
        <v>29</v>
      </c>
      <c r="C5" s="2" t="s">
        <v>27</v>
      </c>
      <c r="D5" s="2" t="s">
        <v>8</v>
      </c>
      <c r="E5" s="2" t="s">
        <v>22</v>
      </c>
      <c r="F5" s="2" t="s">
        <v>22</v>
      </c>
      <c r="G5" s="6">
        <v>43</v>
      </c>
      <c r="H5" s="7">
        <v>1118</v>
      </c>
      <c r="I5" s="8">
        <v>48074</v>
      </c>
      <c r="J5" s="4">
        <v>144</v>
      </c>
      <c r="K5" s="5">
        <f t="shared" ref="K5:K20" si="3">J5*G5</f>
        <v>6192</v>
      </c>
      <c r="L5" s="7">
        <f t="shared" ref="L5:L20" si="4">J5-H5</f>
        <v>-974</v>
      </c>
      <c r="M5" s="8">
        <f t="shared" ref="M5:M20" si="5">K5-I5</f>
        <v>-41882</v>
      </c>
      <c r="N5" s="3">
        <v>46013</v>
      </c>
      <c r="O5" s="3">
        <v>46033</v>
      </c>
    </row>
    <row r="6" spans="1:15" x14ac:dyDescent="0.2">
      <c r="A6" s="9" t="s">
        <v>28</v>
      </c>
      <c r="B6" s="2" t="s">
        <v>29</v>
      </c>
      <c r="C6" s="2" t="s">
        <v>27</v>
      </c>
      <c r="D6" s="2" t="s">
        <v>8</v>
      </c>
      <c r="E6" s="2" t="s">
        <v>23</v>
      </c>
      <c r="F6" s="2" t="s">
        <v>23</v>
      </c>
      <c r="G6" s="6">
        <v>77</v>
      </c>
      <c r="H6" s="7">
        <v>447</v>
      </c>
      <c r="I6" s="8">
        <v>34419</v>
      </c>
      <c r="J6" s="4">
        <v>100</v>
      </c>
      <c r="K6" s="5">
        <f t="shared" si="3"/>
        <v>7700</v>
      </c>
      <c r="L6" s="7">
        <f t="shared" si="4"/>
        <v>-347</v>
      </c>
      <c r="M6" s="8">
        <f t="shared" si="5"/>
        <v>-26719</v>
      </c>
      <c r="N6" s="3">
        <v>46013</v>
      </c>
      <c r="O6" s="3">
        <v>46033</v>
      </c>
    </row>
    <row r="7" spans="1:15" x14ac:dyDescent="0.2">
      <c r="A7" s="2" t="s">
        <v>31</v>
      </c>
      <c r="B7" s="2" t="s">
        <v>32</v>
      </c>
      <c r="C7" s="2" t="s">
        <v>30</v>
      </c>
      <c r="D7" s="2" t="s">
        <v>8</v>
      </c>
      <c r="E7" s="2" t="s">
        <v>9</v>
      </c>
      <c r="F7" s="2" t="s">
        <v>9</v>
      </c>
      <c r="G7" s="6">
        <v>5</v>
      </c>
      <c r="H7" s="7">
        <v>17718</v>
      </c>
      <c r="I7" s="8">
        <v>88590</v>
      </c>
      <c r="J7" s="4">
        <v>46141</v>
      </c>
      <c r="K7" s="5">
        <f t="shared" si="3"/>
        <v>230705</v>
      </c>
      <c r="L7" s="7">
        <f t="shared" si="4"/>
        <v>28423</v>
      </c>
      <c r="M7" s="8">
        <f t="shared" si="5"/>
        <v>142115</v>
      </c>
      <c r="N7" s="3">
        <v>46013</v>
      </c>
      <c r="O7" s="3">
        <v>46033</v>
      </c>
    </row>
    <row r="8" spans="1:15" x14ac:dyDescent="0.2">
      <c r="A8" s="2" t="s">
        <v>33</v>
      </c>
      <c r="B8" s="2" t="s">
        <v>34</v>
      </c>
      <c r="C8" s="2" t="s">
        <v>35</v>
      </c>
      <c r="D8" s="2" t="s">
        <v>8</v>
      </c>
      <c r="E8" s="2" t="s">
        <v>10</v>
      </c>
      <c r="F8" s="2" t="s">
        <v>10</v>
      </c>
      <c r="G8" s="6">
        <v>4</v>
      </c>
      <c r="H8" s="7">
        <v>1600</v>
      </c>
      <c r="I8" s="8">
        <v>6400</v>
      </c>
      <c r="J8" s="4">
        <v>1580</v>
      </c>
      <c r="K8" s="5">
        <f t="shared" si="3"/>
        <v>6320</v>
      </c>
      <c r="L8" s="7">
        <f t="shared" si="4"/>
        <v>-20</v>
      </c>
      <c r="M8" s="8">
        <f t="shared" si="5"/>
        <v>-80</v>
      </c>
      <c r="N8" s="3">
        <v>46013</v>
      </c>
      <c r="O8" s="3">
        <v>46033</v>
      </c>
    </row>
    <row r="9" spans="1:15" x14ac:dyDescent="0.2">
      <c r="A9" s="2" t="s">
        <v>33</v>
      </c>
      <c r="B9" s="2" t="s">
        <v>34</v>
      </c>
      <c r="C9" s="2" t="s">
        <v>35</v>
      </c>
      <c r="D9" s="2" t="s">
        <v>8</v>
      </c>
      <c r="E9" s="2" t="s">
        <v>11</v>
      </c>
      <c r="F9" s="2" t="s">
        <v>11</v>
      </c>
      <c r="G9" s="6">
        <v>4</v>
      </c>
      <c r="H9" s="7">
        <v>1100</v>
      </c>
      <c r="I9" s="8">
        <v>4400</v>
      </c>
      <c r="J9" s="4">
        <v>1000</v>
      </c>
      <c r="K9" s="5">
        <f t="shared" si="3"/>
        <v>4000</v>
      </c>
      <c r="L9" s="7">
        <f t="shared" si="4"/>
        <v>-100</v>
      </c>
      <c r="M9" s="8">
        <f t="shared" si="5"/>
        <v>-400</v>
      </c>
      <c r="N9" s="3">
        <v>46013</v>
      </c>
      <c r="O9" s="3">
        <v>46033</v>
      </c>
    </row>
    <row r="10" spans="1:15" x14ac:dyDescent="0.2">
      <c r="A10" s="2" t="s">
        <v>33</v>
      </c>
      <c r="B10" s="2" t="s">
        <v>34</v>
      </c>
      <c r="C10" s="2" t="s">
        <v>35</v>
      </c>
      <c r="D10" s="2" t="s">
        <v>8</v>
      </c>
      <c r="E10" s="2" t="s">
        <v>12</v>
      </c>
      <c r="F10" s="2" t="s">
        <v>12</v>
      </c>
      <c r="G10" s="6">
        <v>4</v>
      </c>
      <c r="H10" s="7">
        <v>1100</v>
      </c>
      <c r="I10" s="8">
        <v>4400</v>
      </c>
      <c r="J10" s="4">
        <v>1263</v>
      </c>
      <c r="K10" s="5">
        <f t="shared" si="3"/>
        <v>5052</v>
      </c>
      <c r="L10" s="7">
        <f t="shared" si="4"/>
        <v>163</v>
      </c>
      <c r="M10" s="8">
        <f t="shared" si="5"/>
        <v>652</v>
      </c>
      <c r="N10" s="3">
        <v>46013</v>
      </c>
      <c r="O10" s="3">
        <v>46033</v>
      </c>
    </row>
    <row r="11" spans="1:15" x14ac:dyDescent="0.2">
      <c r="A11" s="2" t="s">
        <v>36</v>
      </c>
      <c r="B11" s="2" t="s">
        <v>37</v>
      </c>
      <c r="C11" s="2" t="s">
        <v>38</v>
      </c>
      <c r="D11" s="2" t="s">
        <v>8</v>
      </c>
      <c r="E11" s="2" t="s">
        <v>13</v>
      </c>
      <c r="F11" s="2" t="s">
        <v>13</v>
      </c>
      <c r="G11" s="6">
        <v>10</v>
      </c>
      <c r="H11" s="7">
        <v>4667</v>
      </c>
      <c r="I11" s="8">
        <v>46670</v>
      </c>
      <c r="J11" s="4">
        <v>1000</v>
      </c>
      <c r="K11" s="5">
        <f t="shared" si="3"/>
        <v>10000</v>
      </c>
      <c r="L11" s="7">
        <f t="shared" si="4"/>
        <v>-3667</v>
      </c>
      <c r="M11" s="8">
        <f t="shared" si="5"/>
        <v>-36670</v>
      </c>
      <c r="N11" s="3">
        <v>46013</v>
      </c>
      <c r="O11" s="3">
        <v>46033</v>
      </c>
    </row>
    <row r="12" spans="1:15" x14ac:dyDescent="0.2">
      <c r="A12" s="2" t="s">
        <v>36</v>
      </c>
      <c r="B12" s="2" t="s">
        <v>37</v>
      </c>
      <c r="C12" s="2" t="s">
        <v>38</v>
      </c>
      <c r="D12" s="2" t="s">
        <v>8</v>
      </c>
      <c r="E12" s="2" t="s">
        <v>14</v>
      </c>
      <c r="F12" s="2" t="s">
        <v>14</v>
      </c>
      <c r="G12" s="6">
        <v>10</v>
      </c>
      <c r="H12" s="7">
        <v>1183</v>
      </c>
      <c r="I12" s="8">
        <v>11830</v>
      </c>
      <c r="J12" s="4">
        <v>0</v>
      </c>
      <c r="K12" s="5">
        <f t="shared" si="3"/>
        <v>0</v>
      </c>
      <c r="L12" s="7">
        <f t="shared" si="4"/>
        <v>-1183</v>
      </c>
      <c r="M12" s="8">
        <f t="shared" si="5"/>
        <v>-11830</v>
      </c>
      <c r="N12" s="3">
        <v>46013</v>
      </c>
      <c r="O12" s="3">
        <v>46033</v>
      </c>
    </row>
    <row r="13" spans="1:15" x14ac:dyDescent="0.2">
      <c r="A13" s="2" t="s">
        <v>36</v>
      </c>
      <c r="B13" s="2" t="s">
        <v>37</v>
      </c>
      <c r="C13" s="2" t="s">
        <v>38</v>
      </c>
      <c r="D13" s="2" t="s">
        <v>8</v>
      </c>
      <c r="E13" s="2" t="s">
        <v>9</v>
      </c>
      <c r="F13" s="2" t="s">
        <v>9</v>
      </c>
      <c r="G13" s="6">
        <v>5</v>
      </c>
      <c r="H13" s="7">
        <v>5449</v>
      </c>
      <c r="I13" s="8">
        <v>27245</v>
      </c>
      <c r="J13" s="4">
        <v>3800</v>
      </c>
      <c r="K13" s="5">
        <f t="shared" si="3"/>
        <v>19000</v>
      </c>
      <c r="L13" s="7">
        <f t="shared" si="4"/>
        <v>-1649</v>
      </c>
      <c r="M13" s="8">
        <f t="shared" si="5"/>
        <v>-8245</v>
      </c>
      <c r="N13" s="3">
        <v>46013</v>
      </c>
      <c r="O13" s="3">
        <v>46033</v>
      </c>
    </row>
    <row r="14" spans="1:15" x14ac:dyDescent="0.2">
      <c r="A14" s="2" t="s">
        <v>36</v>
      </c>
      <c r="B14" s="2" t="s">
        <v>37</v>
      </c>
      <c r="C14" s="2" t="s">
        <v>38</v>
      </c>
      <c r="D14" s="2" t="s">
        <v>8</v>
      </c>
      <c r="E14" s="2" t="s">
        <v>15</v>
      </c>
      <c r="F14" s="2" t="s">
        <v>15</v>
      </c>
      <c r="G14" s="6">
        <v>10</v>
      </c>
      <c r="H14" s="7">
        <v>941</v>
      </c>
      <c r="I14" s="8">
        <v>9410</v>
      </c>
      <c r="J14" s="4">
        <v>700</v>
      </c>
      <c r="K14" s="5">
        <f t="shared" si="3"/>
        <v>7000</v>
      </c>
      <c r="L14" s="7">
        <f t="shared" si="4"/>
        <v>-241</v>
      </c>
      <c r="M14" s="8">
        <f t="shared" si="5"/>
        <v>-2410</v>
      </c>
      <c r="N14" s="3">
        <v>46013</v>
      </c>
      <c r="O14" s="3">
        <v>46033</v>
      </c>
    </row>
    <row r="15" spans="1:15" x14ac:dyDescent="0.2">
      <c r="A15" s="2" t="s">
        <v>36</v>
      </c>
      <c r="B15" s="2" t="s">
        <v>37</v>
      </c>
      <c r="C15" s="2" t="s">
        <v>38</v>
      </c>
      <c r="D15" s="2" t="s">
        <v>8</v>
      </c>
      <c r="E15" s="2" t="s">
        <v>10</v>
      </c>
      <c r="F15" s="2" t="s">
        <v>10</v>
      </c>
      <c r="G15" s="6">
        <v>10</v>
      </c>
      <c r="H15" s="7">
        <v>848</v>
      </c>
      <c r="I15" s="8">
        <v>8480</v>
      </c>
      <c r="J15" s="4">
        <v>520</v>
      </c>
      <c r="K15" s="5">
        <f t="shared" si="3"/>
        <v>5200</v>
      </c>
      <c r="L15" s="7">
        <f t="shared" si="4"/>
        <v>-328</v>
      </c>
      <c r="M15" s="8">
        <f t="shared" si="5"/>
        <v>-3280</v>
      </c>
      <c r="N15" s="3">
        <v>46013</v>
      </c>
      <c r="O15" s="3">
        <v>46033</v>
      </c>
    </row>
    <row r="16" spans="1:15" x14ac:dyDescent="0.2">
      <c r="A16" s="2" t="s">
        <v>36</v>
      </c>
      <c r="B16" s="2" t="s">
        <v>37</v>
      </c>
      <c r="C16" s="2" t="s">
        <v>38</v>
      </c>
      <c r="D16" s="2" t="s">
        <v>8</v>
      </c>
      <c r="E16" s="2" t="s">
        <v>11</v>
      </c>
      <c r="F16" s="2" t="s">
        <v>11</v>
      </c>
      <c r="G16" s="6">
        <v>10</v>
      </c>
      <c r="H16" s="7">
        <v>542</v>
      </c>
      <c r="I16" s="8">
        <v>5420</v>
      </c>
      <c r="J16" s="4">
        <v>0</v>
      </c>
      <c r="K16" s="5">
        <f t="shared" si="3"/>
        <v>0</v>
      </c>
      <c r="L16" s="7">
        <f t="shared" si="4"/>
        <v>-542</v>
      </c>
      <c r="M16" s="8">
        <f t="shared" si="5"/>
        <v>-5420</v>
      </c>
      <c r="N16" s="3">
        <v>46013</v>
      </c>
      <c r="O16" s="3">
        <v>46033</v>
      </c>
    </row>
    <row r="17" spans="1:15" x14ac:dyDescent="0.2">
      <c r="A17" s="2" t="s">
        <v>36</v>
      </c>
      <c r="B17" s="2" t="s">
        <v>37</v>
      </c>
      <c r="C17" s="2" t="s">
        <v>38</v>
      </c>
      <c r="D17" s="2" t="s">
        <v>8</v>
      </c>
      <c r="E17" s="2" t="s">
        <v>12</v>
      </c>
      <c r="F17" s="2" t="s">
        <v>12</v>
      </c>
      <c r="G17" s="6">
        <v>10</v>
      </c>
      <c r="H17" s="7">
        <v>828</v>
      </c>
      <c r="I17" s="8">
        <v>8280</v>
      </c>
      <c r="J17" s="4">
        <v>1107</v>
      </c>
      <c r="K17" s="5">
        <f t="shared" si="3"/>
        <v>11070</v>
      </c>
      <c r="L17" s="7">
        <f t="shared" si="4"/>
        <v>279</v>
      </c>
      <c r="M17" s="8">
        <f t="shared" si="5"/>
        <v>2790</v>
      </c>
      <c r="N17" s="3">
        <v>46013</v>
      </c>
      <c r="O17" s="3">
        <v>46033</v>
      </c>
    </row>
    <row r="18" spans="1:15" x14ac:dyDescent="0.2">
      <c r="A18" s="2" t="s">
        <v>36</v>
      </c>
      <c r="B18" s="2" t="s">
        <v>37</v>
      </c>
      <c r="C18" s="2" t="s">
        <v>38</v>
      </c>
      <c r="D18" s="2" t="s">
        <v>8</v>
      </c>
      <c r="E18" s="2" t="s">
        <v>16</v>
      </c>
      <c r="F18" s="2" t="s">
        <v>16</v>
      </c>
      <c r="G18" s="6">
        <v>30</v>
      </c>
      <c r="H18" s="7">
        <v>14</v>
      </c>
      <c r="I18" s="8">
        <v>420</v>
      </c>
      <c r="J18" s="4">
        <v>30</v>
      </c>
      <c r="K18" s="5">
        <f t="shared" si="3"/>
        <v>900</v>
      </c>
      <c r="L18" s="7">
        <f t="shared" si="4"/>
        <v>16</v>
      </c>
      <c r="M18" s="8">
        <f t="shared" si="5"/>
        <v>480</v>
      </c>
      <c r="N18" s="3">
        <v>46013</v>
      </c>
      <c r="O18" s="3">
        <v>46033</v>
      </c>
    </row>
    <row r="19" spans="1:15" x14ac:dyDescent="0.2">
      <c r="A19" s="2" t="s">
        <v>36</v>
      </c>
      <c r="B19" s="2" t="s">
        <v>37</v>
      </c>
      <c r="C19" s="2" t="s">
        <v>38</v>
      </c>
      <c r="D19" s="2" t="s">
        <v>8</v>
      </c>
      <c r="E19" s="2" t="s">
        <v>17</v>
      </c>
      <c r="F19" s="2" t="s">
        <v>17</v>
      </c>
      <c r="G19" s="6">
        <v>30</v>
      </c>
      <c r="H19" s="7">
        <v>49</v>
      </c>
      <c r="I19" s="8">
        <v>1470</v>
      </c>
      <c r="J19" s="4">
        <v>20</v>
      </c>
      <c r="K19" s="5">
        <f t="shared" si="3"/>
        <v>600</v>
      </c>
      <c r="L19" s="7">
        <f t="shared" si="4"/>
        <v>-29</v>
      </c>
      <c r="M19" s="8">
        <f t="shared" si="5"/>
        <v>-870</v>
      </c>
      <c r="N19" s="3">
        <v>46013</v>
      </c>
      <c r="O19" s="3">
        <v>46033</v>
      </c>
    </row>
    <row r="20" spans="1:15" x14ac:dyDescent="0.2">
      <c r="A20" s="2" t="s">
        <v>36</v>
      </c>
      <c r="B20" s="2" t="s">
        <v>37</v>
      </c>
      <c r="C20" s="2" t="s">
        <v>38</v>
      </c>
      <c r="D20" s="2" t="s">
        <v>8</v>
      </c>
      <c r="E20" s="2" t="s">
        <v>18</v>
      </c>
      <c r="F20" s="2" t="s">
        <v>18</v>
      </c>
      <c r="G20" s="6">
        <v>80</v>
      </c>
      <c r="H20" s="7">
        <v>705</v>
      </c>
      <c r="I20" s="8">
        <v>56400</v>
      </c>
      <c r="J20" s="4">
        <v>100</v>
      </c>
      <c r="K20" s="5">
        <f t="shared" si="3"/>
        <v>8000</v>
      </c>
      <c r="L20" s="7">
        <f t="shared" si="4"/>
        <v>-605</v>
      </c>
      <c r="M20" s="8">
        <f t="shared" si="5"/>
        <v>-48400</v>
      </c>
      <c r="N20" s="3">
        <v>46013</v>
      </c>
      <c r="O20" s="3">
        <v>46033</v>
      </c>
    </row>
    <row r="21" spans="1:15" x14ac:dyDescent="0.2">
      <c r="A21" s="2" t="s">
        <v>40</v>
      </c>
      <c r="B21" s="2" t="s">
        <v>41</v>
      </c>
      <c r="C21" s="2" t="s">
        <v>39</v>
      </c>
      <c r="D21" s="2" t="s">
        <v>8</v>
      </c>
      <c r="E21" s="2" t="s">
        <v>18</v>
      </c>
      <c r="F21" s="2" t="s">
        <v>18</v>
      </c>
      <c r="G21" s="6">
        <v>50</v>
      </c>
      <c r="H21" s="7">
        <v>2265</v>
      </c>
      <c r="I21" s="8">
        <v>113250</v>
      </c>
      <c r="J21" s="4">
        <v>1310</v>
      </c>
      <c r="K21" s="5">
        <f t="shared" ref="K21" si="6">J21*G21</f>
        <v>65500</v>
      </c>
      <c r="L21" s="7">
        <f t="shared" ref="L21" si="7">J21-H21</f>
        <v>-955</v>
      </c>
      <c r="M21" s="8">
        <f t="shared" ref="M21" si="8">K21-I21</f>
        <v>-47750</v>
      </c>
      <c r="N21" s="3">
        <v>46020</v>
      </c>
      <c r="O21" s="3">
        <v>46033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2026-01-05T15:34:27Z</dcterms:created>
  <dcterms:modified xsi:type="dcterms:W3CDTF">2026-01-07T15:20:16Z</dcterms:modified>
  <cp:category/>
</cp:coreProperties>
</file>