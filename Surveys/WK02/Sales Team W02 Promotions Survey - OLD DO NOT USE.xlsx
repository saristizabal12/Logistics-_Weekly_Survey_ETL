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2\"/>
    </mc:Choice>
  </mc:AlternateContent>
  <xr:revisionPtr revIDLastSave="0" documentId="13_ncr:1_{F1EEE079-9CE7-47F1-8261-D47F4214F8DF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As of now" sheetId="13" r:id="rId1"/>
  </sheets>
  <definedNames>
    <definedName name="_xlnm._FilterDatabase" localSheetId="0" hidden="1">'As of now'!$A$1:$N$21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3" l="1"/>
  <c r="L21" i="13" s="1"/>
  <c r="J20" i="13"/>
  <c r="L20" i="13" s="1"/>
  <c r="J19" i="13"/>
  <c r="L19" i="13" s="1"/>
  <c r="J18" i="13"/>
  <c r="L18" i="13" s="1"/>
  <c r="J17" i="13"/>
  <c r="L17" i="13" s="1"/>
  <c r="J16" i="13"/>
  <c r="L16" i="13" s="1"/>
  <c r="J15" i="13"/>
  <c r="K15" i="13" s="1"/>
  <c r="J14" i="13"/>
  <c r="L14" i="13" s="1"/>
  <c r="J13" i="13"/>
  <c r="L13" i="13" s="1"/>
  <c r="J12" i="13"/>
  <c r="K12" i="13" s="1"/>
  <c r="J11" i="13"/>
  <c r="K11" i="13" s="1"/>
  <c r="J10" i="13"/>
  <c r="L10" i="13" s="1"/>
  <c r="J9" i="13"/>
  <c r="L9" i="13" s="1"/>
  <c r="J8" i="13"/>
  <c r="L8" i="13" s="1"/>
  <c r="J7" i="13"/>
  <c r="L7" i="13" s="1"/>
  <c r="Q4" i="13" s="1"/>
  <c r="J6" i="13"/>
  <c r="K6" i="13" s="1"/>
  <c r="J5" i="13"/>
  <c r="L5" i="13" s="1"/>
  <c r="J4" i="13"/>
  <c r="L4" i="13" s="1"/>
  <c r="G21" i="13"/>
  <c r="P7" i="13" s="1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P4" i="13" s="1"/>
  <c r="G6" i="13"/>
  <c r="G5" i="13"/>
  <c r="G4" i="13"/>
  <c r="G3" i="13"/>
  <c r="J3" i="13"/>
  <c r="K3" i="13" s="1"/>
  <c r="J2" i="13"/>
  <c r="K2" i="13" s="1"/>
  <c r="G2" i="13"/>
  <c r="M13" i="13" l="1"/>
  <c r="N13" i="13" s="1"/>
  <c r="P5" i="13"/>
  <c r="Q5" i="13"/>
  <c r="U2" i="13" s="1"/>
  <c r="M14" i="13"/>
  <c r="N14" i="13" s="1"/>
  <c r="M20" i="13"/>
  <c r="N20" i="13" s="1"/>
  <c r="M9" i="13"/>
  <c r="N9" i="13" s="1"/>
  <c r="M21" i="13"/>
  <c r="N21" i="13" s="1"/>
  <c r="P6" i="13"/>
  <c r="P2" i="13"/>
  <c r="M10" i="13"/>
  <c r="N10" i="13" s="1"/>
  <c r="P3" i="13"/>
  <c r="M4" i="13"/>
  <c r="N4" i="13" s="1"/>
  <c r="M17" i="13"/>
  <c r="N17" i="13" s="1"/>
  <c r="M16" i="13"/>
  <c r="N16" i="13" s="1"/>
  <c r="M18" i="13"/>
  <c r="N18" i="13" s="1"/>
  <c r="M7" i="13"/>
  <c r="N7" i="13" s="1"/>
  <c r="M19" i="13"/>
  <c r="N19" i="13" s="1"/>
  <c r="M8" i="13"/>
  <c r="N8" i="13" s="1"/>
  <c r="K19" i="13"/>
  <c r="K17" i="13"/>
  <c r="K13" i="13"/>
  <c r="Q7" i="13"/>
  <c r="W2" i="13" s="1"/>
  <c r="T2" i="13"/>
  <c r="M5" i="13"/>
  <c r="N5" i="13" s="1"/>
  <c r="K5" i="13"/>
  <c r="K7" i="13"/>
  <c r="L12" i="13"/>
  <c r="M12" i="13" s="1"/>
  <c r="N12" i="13" s="1"/>
  <c r="K9" i="13"/>
  <c r="K21" i="13"/>
  <c r="L15" i="13"/>
  <c r="M15" i="13" s="1"/>
  <c r="N15" i="13" s="1"/>
  <c r="K18" i="13"/>
  <c r="K4" i="13"/>
  <c r="L11" i="13"/>
  <c r="K16" i="13"/>
  <c r="K10" i="13"/>
  <c r="K20" i="13"/>
  <c r="L6" i="13"/>
  <c r="Q3" i="13" s="1"/>
  <c r="K14" i="13"/>
  <c r="K8" i="13"/>
  <c r="L2" i="13"/>
  <c r="L3" i="13"/>
  <c r="Q2" i="13" l="1"/>
  <c r="R2" i="13" s="1"/>
  <c r="M11" i="13"/>
  <c r="N11" i="13" s="1"/>
  <c r="Q6" i="13"/>
  <c r="V2" i="13" s="1"/>
  <c r="M6" i="13"/>
  <c r="N6" i="13" s="1"/>
  <c r="M2" i="13"/>
  <c r="N2" i="13" s="1"/>
  <c r="M3" i="13"/>
  <c r="N3" i="13" s="1"/>
  <c r="S2" i="13"/>
</calcChain>
</file>

<file path=xl/sharedStrings.xml><?xml version="1.0" encoding="utf-8"?>
<sst xmlns="http://schemas.openxmlformats.org/spreadsheetml/2006/main" count="94" uniqueCount="40">
  <si>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</si>
  <si>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</si>
  <si>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</si>
  <si>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</si>
  <si>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</si>
  <si>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</si>
  <si>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</si>
  <si>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</si>
  <si>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</si>
  <si>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</si>
  <si>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</si>
  <si>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</si>
  <si>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</si>
  <si>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G-S25-ULTRA</t>
  </si>
  <si>
    <t>A0S3A0A250001262</t>
  </si>
  <si>
    <t>VITEL W52-W2 Foldables Series Sustain ST Promo</t>
  </si>
  <si>
    <t>A0S3A0A250001269</t>
  </si>
  <si>
    <t>VITEL W52-W2 Watch8 Sustain ST Promo</t>
  </si>
  <si>
    <t>A0S3A0A250001277</t>
  </si>
  <si>
    <t>VITEL W52-W2 A16 OM Flash ST Promo</t>
  </si>
  <si>
    <t>A0S3A0A250001283</t>
  </si>
  <si>
    <t>VITEL W52-W2 A Series Peak Season ST Promo</t>
  </si>
  <si>
    <t>A0S3A0A250001286</t>
  </si>
  <si>
    <t>VITEL W52-W2 VE Special Market Sell-Thru Promotion</t>
  </si>
  <si>
    <t>A0S3A0A250001300</t>
  </si>
  <si>
    <t>VITEL W1-W2 S25 Ultra OM ST Promo</t>
  </si>
  <si>
    <t>G-Z-FLIP7</t>
  </si>
  <si>
    <t>G-Z-FLIP7-FE</t>
  </si>
  <si>
    <t>G-Z-FOLD7</t>
  </si>
  <si>
    <t>G-WATCH8</t>
  </si>
  <si>
    <t>G-WATCH8-CLASSIC</t>
  </si>
  <si>
    <t>G-A16</t>
  </si>
  <si>
    <t>G-A26-5G</t>
  </si>
  <si>
    <t>G-A36-5G</t>
  </si>
  <si>
    <t>G-A56-5G</t>
  </si>
  <si>
    <t>G-A06</t>
  </si>
  <si>
    <t>G-A07</t>
  </si>
  <si>
    <t>G-A17</t>
  </si>
  <si>
    <t>G-S25</t>
  </si>
  <si>
    <t>G-S25+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</si>
</sst>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3" fontId="0" fillId="4" borderId="1" xfId="0" applyNumberFormat="1" applyFill="1" applyBorder="1"/>
    <xf numFmtId="0" fontId="2" fillId="0" borderId="1" xfId="0" applyFont="1" applyBorder="1"/>
    <xf numFmtId="8" fontId="2" fillId="5" borderId="0" xfId="0" applyNumberFormat="1" applyFont="1" applyFill="1"/>
    <xf numFmtId="0" fontId="0" fillId="0" borderId="0" xfId="0" applyAlignment="1">
      <alignment vertical="center" wrapText="1"/>
    </xf>
  </cellXfs>
  <cellStyles count="2">
    <cellStyle name="Currency" xfId="1" builtinId="4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W21"/>
  <sheetViews>
    <sheetView showGridLines="0" tabSelected="1" topLeftCell="B1" zoomScale="130" zoomScaleNormal="130" workbookViewId="0">
      <pane ySplit="1" topLeftCell="A2" activePane="bottomLeft" state="frozen"/>
      <selection pane="bottomLeft" activeCell="B1" sqref="B1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285156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9" width="10.42578125" bestFit="1" customWidth="1"/>
    <col min="20" max="20" width="12" bestFit="1" customWidth="1"/>
    <col min="21" max="21" width="10.42578125" bestFit="1" customWidth="1"/>
    <col min="22" max="23" width="11.42578125" bestFit="1" customWidth="1"/>
  </cols>
  <sheetData>
    <row r="1" spans="1:23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1">
        <v>1262</v>
      </c>
      <c r="S1" s="11">
        <v>1269</v>
      </c>
      <c r="T1" s="11">
        <v>1277</v>
      </c>
      <c r="U1" s="11">
        <v>1283</v>
      </c>
      <c r="V1" s="11">
        <v>1286</v>
      </c>
      <c r="W1" s="11">
        <v>1300</v>
      </c>
    </row>
    <row r="2" spans="1:23" ht="18" customHeight="1" x14ac:dyDescent="0.2">
      <c r="A2" s="14" t="s">
        <v>14</v>
      </c>
      <c r="B2" s="14" t="s">
        <v>15</v>
      </c>
      <c r="C2" s="14" t="s">
        <v>26</v>
      </c>
      <c r="D2" s="14" t="s">
        <v>26</v>
      </c>
      <c r="E2" s="2">
        <v>80</v>
      </c>
      <c r="F2" s="15">
        <v>2</v>
      </c>
      <c r="G2" s="2">
        <f t="shared" ref="G2:G21" si="0">E2*F2</f>
        <v>160</v>
      </c>
      <c r="H2" s="3"/>
      <c r="I2" s="3"/>
      <c r="J2" s="3">
        <f t="shared" ref="J2:J3" si="1">H2+I2</f>
        <v>0</v>
      </c>
      <c r="K2" s="3">
        <f t="shared" ref="K2:K3" si="2">F2-J2</f>
        <v>2</v>
      </c>
      <c r="L2" s="4">
        <f t="shared" ref="L2:L3" si="3">J2*E2</f>
        <v>0</v>
      </c>
      <c r="M2" s="4">
        <f t="shared" ref="M2:M3" si="4">G2-L2</f>
        <v>160</v>
      </c>
      <c r="N2" s="13" t="str">
        <f t="shared" ref="N2:N3" si="5">IF(M2&gt;0,"KEEP SELLING", "DO NOT SELL")</f>
        <v>KEEP SELLING</v>
      </c>
      <c r="P2" s="10">
        <f>SUM(G2:G4)</f>
        <v>24500</v>
      </c>
      <c r="Q2" s="9">
        <f>SUM(L2:L4)</f>
        <v>2520</v>
      </c>
      <c r="R2" s="12">
        <f>P2-Q2</f>
        <v>21980</v>
      </c>
      <c r="S2" s="12">
        <f>P3-Q3</f>
        <v>79018</v>
      </c>
      <c r="T2" s="12">
        <f>P4-Q4</f>
        <v>-142115</v>
      </c>
      <c r="U2" s="12">
        <f>P5-Q5</f>
        <v>628</v>
      </c>
      <c r="V2" s="12">
        <f>P6-Q6</f>
        <v>137355</v>
      </c>
      <c r="W2" s="17">
        <f>P7-Q7</f>
        <v>104700</v>
      </c>
    </row>
    <row r="3" spans="1:23" ht="18" customHeight="1" x14ac:dyDescent="0.2">
      <c r="A3" s="14" t="s">
        <v>14</v>
      </c>
      <c r="B3" s="14" t="s">
        <v>15</v>
      </c>
      <c r="C3" s="14" t="s">
        <v>27</v>
      </c>
      <c r="D3" s="14" t="s">
        <v>27</v>
      </c>
      <c r="E3" s="2">
        <v>120</v>
      </c>
      <c r="F3" s="15">
        <v>182</v>
      </c>
      <c r="G3" s="2">
        <f t="shared" si="0"/>
        <v>21840</v>
      </c>
      <c r="H3" s="3">
        <v>1</v>
      </c>
      <c r="I3" s="3">
        <v>20</v>
      </c>
      <c r="J3" s="3">
        <f t="shared" si="1"/>
        <v>21</v>
      </c>
      <c r="K3" s="3">
        <f t="shared" si="2"/>
        <v>161</v>
      </c>
      <c r="L3" s="4">
        <f t="shared" si="3"/>
        <v>2520</v>
      </c>
      <c r="M3" s="4">
        <f t="shared" si="4"/>
        <v>19320</v>
      </c>
      <c r="N3" s="13" t="str">
        <f t="shared" si="5"/>
        <v>KEEP SELLING</v>
      </c>
      <c r="P3" s="10">
        <f>SUM(G5:G6)</f>
        <v>82493</v>
      </c>
      <c r="Q3" s="9">
        <f>SUM(L5:L6)</f>
        <v>3475</v>
      </c>
    </row>
    <row r="4" spans="1:23" ht="18" customHeight="1" x14ac:dyDescent="0.2">
      <c r="A4" s="14" t="s">
        <v>14</v>
      </c>
      <c r="B4" s="14" t="s">
        <v>15</v>
      </c>
      <c r="C4" s="14" t="s">
        <v>28</v>
      </c>
      <c r="D4" s="14" t="s">
        <v>28</v>
      </c>
      <c r="E4" s="2">
        <v>100</v>
      </c>
      <c r="F4" s="15">
        <v>25</v>
      </c>
      <c r="G4" s="2">
        <f t="shared" si="0"/>
        <v>2500</v>
      </c>
      <c r="H4" s="3"/>
      <c r="I4" s="3"/>
      <c r="J4" s="3">
        <f t="shared" ref="J4:J21" si="6">H4+I4</f>
        <v>0</v>
      </c>
      <c r="K4" s="3">
        <f t="shared" ref="K4:K21" si="7">F4-J4</f>
        <v>25</v>
      </c>
      <c r="L4" s="4">
        <f t="shared" ref="L4:L21" si="8">J4*E4</f>
        <v>0</v>
      </c>
      <c r="M4" s="4">
        <f t="shared" ref="M4:M21" si="9">G4-L4</f>
        <v>2500</v>
      </c>
      <c r="N4" s="13" t="str">
        <f t="shared" ref="N4:N21" si="10">IF(M4&gt;0,"KEEP SELLING", "DO NOT SELL")</f>
        <v>KEEP SELLING</v>
      </c>
      <c r="P4" s="10">
        <f>SUM(G7)</f>
        <v>88590</v>
      </c>
      <c r="Q4" s="9">
        <f>SUM(L7)</f>
        <v>230705</v>
      </c>
    </row>
    <row r="5" spans="1:23" ht="18" customHeight="1" x14ac:dyDescent="0.2">
      <c r="A5" s="14" t="s">
        <v>16</v>
      </c>
      <c r="B5" s="14" t="s">
        <v>17</v>
      </c>
      <c r="C5" s="14" t="s">
        <v>29</v>
      </c>
      <c r="D5" s="14" t="s">
        <v>29</v>
      </c>
      <c r="E5" s="2">
        <v>43</v>
      </c>
      <c r="F5" s="15">
        <v>1118</v>
      </c>
      <c r="G5" s="2">
        <f t="shared" si="0"/>
        <v>48074</v>
      </c>
      <c r="H5" s="3">
        <v>44</v>
      </c>
      <c r="I5" s="3">
        <v>1</v>
      </c>
      <c r="J5" s="3">
        <f t="shared" si="6"/>
        <v>45</v>
      </c>
      <c r="K5" s="3">
        <f t="shared" si="7"/>
        <v>1073</v>
      </c>
      <c r="L5" s="4">
        <f t="shared" si="8"/>
        <v>1935</v>
      </c>
      <c r="M5" s="4">
        <f t="shared" si="9"/>
        <v>46139</v>
      </c>
      <c r="N5" s="13" t="str">
        <f t="shared" si="10"/>
        <v>KEEP SELLING</v>
      </c>
      <c r="P5" s="10">
        <f>SUM(G8:G10)</f>
        <v>15200</v>
      </c>
      <c r="Q5" s="9">
        <f>SUM(L8:L10)</f>
        <v>14572</v>
      </c>
    </row>
    <row r="6" spans="1:23" ht="18" customHeight="1" x14ac:dyDescent="0.2">
      <c r="A6" s="16" t="s">
        <v>16</v>
      </c>
      <c r="B6" s="14" t="s">
        <v>17</v>
      </c>
      <c r="C6" s="14" t="s">
        <v>30</v>
      </c>
      <c r="D6" s="14" t="s">
        <v>30</v>
      </c>
      <c r="E6" s="2">
        <v>77</v>
      </c>
      <c r="F6" s="15">
        <v>447</v>
      </c>
      <c r="G6" s="2">
        <f t="shared" si="0"/>
        <v>34419</v>
      </c>
      <c r="H6" s="3"/>
      <c r="I6" s="3">
        <v>20</v>
      </c>
      <c r="J6" s="3">
        <f t="shared" si="6"/>
        <v>20</v>
      </c>
      <c r="K6" s="3">
        <f t="shared" si="7"/>
        <v>427</v>
      </c>
      <c r="L6" s="4">
        <f t="shared" si="8"/>
        <v>1540</v>
      </c>
      <c r="M6" s="4">
        <f t="shared" si="9"/>
        <v>32879</v>
      </c>
      <c r="N6" s="13" t="str">
        <f t="shared" si="10"/>
        <v>KEEP SELLING</v>
      </c>
      <c r="P6" s="10">
        <f>SUM(G11:G20)</f>
        <v>175625</v>
      </c>
      <c r="Q6" s="9">
        <f>SUM(L11:L20)</f>
        <v>38270</v>
      </c>
    </row>
    <row r="7" spans="1:23" ht="18" customHeight="1" x14ac:dyDescent="0.2">
      <c r="A7" s="14" t="s">
        <v>18</v>
      </c>
      <c r="B7" s="14" t="s">
        <v>19</v>
      </c>
      <c r="C7" s="14" t="s">
        <v>31</v>
      </c>
      <c r="D7" s="14" t="s">
        <v>31</v>
      </c>
      <c r="E7" s="2">
        <v>5</v>
      </c>
      <c r="F7" s="15">
        <v>17718</v>
      </c>
      <c r="G7" s="2">
        <f t="shared" si="0"/>
        <v>88590</v>
      </c>
      <c r="H7" s="3">
        <v>43572</v>
      </c>
      <c r="I7" s="3">
        <v>2569</v>
      </c>
      <c r="J7" s="3">
        <f t="shared" si="6"/>
        <v>46141</v>
      </c>
      <c r="K7" s="3">
        <f t="shared" si="7"/>
        <v>-28423</v>
      </c>
      <c r="L7" s="4">
        <f t="shared" si="8"/>
        <v>230705</v>
      </c>
      <c r="M7" s="4">
        <f t="shared" si="9"/>
        <v>-142115</v>
      </c>
      <c r="N7" s="13" t="str">
        <f t="shared" si="10"/>
        <v>DO NOT SELL</v>
      </c>
      <c r="P7" s="10">
        <f>SUM(G21)</f>
        <v>113250</v>
      </c>
      <c r="Q7" s="9">
        <f>SUM(L21)</f>
        <v>8550</v>
      </c>
    </row>
    <row r="8" spans="1:23" ht="18" customHeight="1" x14ac:dyDescent="0.2">
      <c r="A8" s="14" t="s">
        <v>20</v>
      </c>
      <c r="B8" s="14" t="s">
        <v>21</v>
      </c>
      <c r="C8" s="14" t="s">
        <v>32</v>
      </c>
      <c r="D8" s="14" t="s">
        <v>32</v>
      </c>
      <c r="E8" s="2">
        <v>4</v>
      </c>
      <c r="F8" s="15">
        <v>1600</v>
      </c>
      <c r="G8" s="2">
        <f t="shared" si="0"/>
        <v>6400</v>
      </c>
      <c r="H8" s="3">
        <v>750</v>
      </c>
      <c r="I8" s="3">
        <v>830</v>
      </c>
      <c r="J8" s="3">
        <f t="shared" si="6"/>
        <v>1580</v>
      </c>
      <c r="K8" s="3">
        <f t="shared" si="7"/>
        <v>20</v>
      </c>
      <c r="L8" s="4">
        <f t="shared" si="8"/>
        <v>6320</v>
      </c>
      <c r="M8" s="4">
        <f t="shared" si="9"/>
        <v>80</v>
      </c>
      <c r="N8" s="13" t="str">
        <f t="shared" si="10"/>
        <v>KEEP SELLING</v>
      </c>
      <c r="P8" s="10"/>
      <c r="Q8" s="9"/>
    </row>
    <row r="9" spans="1:23" ht="18" customHeight="1" x14ac:dyDescent="0.2">
      <c r="A9" s="14" t="s">
        <v>20</v>
      </c>
      <c r="B9" s="14" t="s">
        <v>21</v>
      </c>
      <c r="C9" s="14" t="s">
        <v>33</v>
      </c>
      <c r="D9" s="14" t="s">
        <v>33</v>
      </c>
      <c r="E9" s="2">
        <v>4</v>
      </c>
      <c r="F9" s="15">
        <v>1100</v>
      </c>
      <c r="G9" s="2">
        <f t="shared" si="0"/>
        <v>4400</v>
      </c>
      <c r="H9" s="3">
        <v>500</v>
      </c>
      <c r="I9" s="3">
        <v>300</v>
      </c>
      <c r="J9" s="3">
        <f t="shared" si="6"/>
        <v>800</v>
      </c>
      <c r="K9" s="3">
        <f t="shared" si="7"/>
        <v>300</v>
      </c>
      <c r="L9" s="4">
        <f t="shared" si="8"/>
        <v>3200</v>
      </c>
      <c r="M9" s="4">
        <f t="shared" si="9"/>
        <v>1200</v>
      </c>
      <c r="N9" s="13" t="str">
        <f t="shared" si="10"/>
        <v>KEEP SELLING</v>
      </c>
      <c r="P9" s="10"/>
      <c r="Q9" s="9"/>
    </row>
    <row r="10" spans="1:23" ht="18" customHeight="1" x14ac:dyDescent="0.2">
      <c r="A10" s="14" t="s">
        <v>20</v>
      </c>
      <c r="B10" s="14" t="s">
        <v>21</v>
      </c>
      <c r="C10" s="14" t="s">
        <v>34</v>
      </c>
      <c r="D10" s="14" t="s">
        <v>34</v>
      </c>
      <c r="E10" s="2">
        <v>4</v>
      </c>
      <c r="F10" s="15">
        <v>1100</v>
      </c>
      <c r="G10" s="2">
        <f t="shared" si="0"/>
        <v>4400</v>
      </c>
      <c r="H10" s="3">
        <v>1263</v>
      </c>
      <c r="I10" s="3"/>
      <c r="J10" s="3">
        <f t="shared" si="6"/>
        <v>1263</v>
      </c>
      <c r="K10" s="3">
        <f t="shared" si="7"/>
        <v>-163</v>
      </c>
      <c r="L10" s="4">
        <f t="shared" si="8"/>
        <v>5052</v>
      </c>
      <c r="M10" s="4">
        <f t="shared" si="9"/>
        <v>-652</v>
      </c>
      <c r="N10" s="13" t="str">
        <f t="shared" si="10"/>
        <v>DO NOT SELL</v>
      </c>
    </row>
    <row r="11" spans="1:23" ht="18" customHeight="1" x14ac:dyDescent="0.2">
      <c r="A11" s="14" t="s">
        <v>22</v>
      </c>
      <c r="B11" s="14" t="s">
        <v>23</v>
      </c>
      <c r="C11" s="14" t="s">
        <v>35</v>
      </c>
      <c r="D11" s="14" t="s">
        <v>35</v>
      </c>
      <c r="E11" s="2">
        <v>10</v>
      </c>
      <c r="F11" s="15">
        <v>4667</v>
      </c>
      <c r="G11" s="2">
        <f t="shared" si="0"/>
        <v>46670</v>
      </c>
      <c r="H11" s="3">
        <v>1000</v>
      </c>
      <c r="I11" s="3"/>
      <c r="J11" s="3">
        <f t="shared" si="6"/>
        <v>1000</v>
      </c>
      <c r="K11" s="3">
        <f t="shared" si="7"/>
        <v>3667</v>
      </c>
      <c r="L11" s="4">
        <f t="shared" si="8"/>
        <v>10000</v>
      </c>
      <c r="M11" s="4">
        <f t="shared" si="9"/>
        <v>36670</v>
      </c>
      <c r="N11" s="13" t="str">
        <f t="shared" si="10"/>
        <v>KEEP SELLING</v>
      </c>
    </row>
    <row r="12" spans="1:23" ht="18" customHeight="1" x14ac:dyDescent="0.2">
      <c r="A12" s="14" t="s">
        <v>22</v>
      </c>
      <c r="B12" s="14" t="s">
        <v>23</v>
      </c>
      <c r="C12" s="14" t="s">
        <v>36</v>
      </c>
      <c r="D12" s="14" t="s">
        <v>36</v>
      </c>
      <c r="E12" s="2">
        <v>10</v>
      </c>
      <c r="F12" s="15">
        <v>1183</v>
      </c>
      <c r="G12" s="2">
        <f t="shared" si="0"/>
        <v>11830</v>
      </c>
      <c r="H12" s="3"/>
      <c r="I12" s="3"/>
      <c r="J12" s="3">
        <f t="shared" si="6"/>
        <v>0</v>
      </c>
      <c r="K12" s="3">
        <f t="shared" si="7"/>
        <v>1183</v>
      </c>
      <c r="L12" s="4">
        <f t="shared" si="8"/>
        <v>0</v>
      </c>
      <c r="M12" s="4">
        <f t="shared" si="9"/>
        <v>11830</v>
      </c>
      <c r="N12" s="13" t="str">
        <f t="shared" si="10"/>
        <v>KEEP SELLING</v>
      </c>
    </row>
    <row r="13" spans="1:23" ht="18" customHeight="1" x14ac:dyDescent="0.2">
      <c r="A13" s="14" t="s">
        <v>22</v>
      </c>
      <c r="B13" s="14" t="s">
        <v>23</v>
      </c>
      <c r="C13" s="14" t="s">
        <v>31</v>
      </c>
      <c r="D13" s="14" t="s">
        <v>31</v>
      </c>
      <c r="E13" s="2">
        <v>5</v>
      </c>
      <c r="F13" s="15">
        <v>5449</v>
      </c>
      <c r="G13" s="2">
        <f t="shared" si="0"/>
        <v>27245</v>
      </c>
      <c r="H13" s="3">
        <v>800</v>
      </c>
      <c r="I13" s="3">
        <v>2000</v>
      </c>
      <c r="J13" s="3">
        <f t="shared" si="6"/>
        <v>2800</v>
      </c>
      <c r="K13" s="3">
        <f t="shared" si="7"/>
        <v>2649</v>
      </c>
      <c r="L13" s="4">
        <f t="shared" si="8"/>
        <v>14000</v>
      </c>
      <c r="M13" s="4">
        <f t="shared" si="9"/>
        <v>13245</v>
      </c>
      <c r="N13" s="13" t="str">
        <f t="shared" si="10"/>
        <v>KEEP SELLING</v>
      </c>
    </row>
    <row r="14" spans="1:23" ht="18" customHeight="1" x14ac:dyDescent="0.2">
      <c r="A14" s="14" t="s">
        <v>22</v>
      </c>
      <c r="B14" s="14" t="s">
        <v>23</v>
      </c>
      <c r="C14" s="14" t="s">
        <v>37</v>
      </c>
      <c r="D14" s="14" t="s">
        <v>37</v>
      </c>
      <c r="E14" s="2">
        <v>10</v>
      </c>
      <c r="F14" s="15">
        <v>941</v>
      </c>
      <c r="G14" s="2">
        <f t="shared" si="0"/>
        <v>9410</v>
      </c>
      <c r="H14" s="3">
        <v>300</v>
      </c>
      <c r="I14" s="3"/>
      <c r="J14" s="3">
        <f t="shared" si="6"/>
        <v>300</v>
      </c>
      <c r="K14" s="3">
        <f t="shared" si="7"/>
        <v>641</v>
      </c>
      <c r="L14" s="4">
        <f t="shared" si="8"/>
        <v>3000</v>
      </c>
      <c r="M14" s="4">
        <f t="shared" si="9"/>
        <v>6410</v>
      </c>
      <c r="N14" s="13" t="str">
        <f t="shared" si="10"/>
        <v>KEEP SELLING</v>
      </c>
      <c r="P14" s="18"/>
    </row>
    <row r="15" spans="1:23" ht="18" customHeight="1" x14ac:dyDescent="0.2">
      <c r="A15" s="14" t="s">
        <v>22</v>
      </c>
      <c r="B15" s="14" t="s">
        <v>23</v>
      </c>
      <c r="C15" s="14" t="s">
        <v>32</v>
      </c>
      <c r="D15" s="14" t="s">
        <v>32</v>
      </c>
      <c r="E15" s="2">
        <v>10</v>
      </c>
      <c r="F15" s="15">
        <v>848</v>
      </c>
      <c r="G15" s="2">
        <f t="shared" si="0"/>
        <v>8480</v>
      </c>
      <c r="H15" s="3">
        <v>220</v>
      </c>
      <c r="I15" s="3"/>
      <c r="J15" s="3">
        <f t="shared" si="6"/>
        <v>220</v>
      </c>
      <c r="K15" s="3">
        <f t="shared" si="7"/>
        <v>628</v>
      </c>
      <c r="L15" s="4">
        <f t="shared" si="8"/>
        <v>2200</v>
      </c>
      <c r="M15" s="4">
        <f t="shared" si="9"/>
        <v>6280</v>
      </c>
      <c r="N15" s="13" t="str">
        <f t="shared" si="10"/>
        <v>KEEP SELLING</v>
      </c>
      <c r="P15" s="18"/>
    </row>
    <row r="16" spans="1:23" ht="18" customHeight="1" x14ac:dyDescent="0.2">
      <c r="A16" s="14" t="s">
        <v>22</v>
      </c>
      <c r="B16" s="14" t="s">
        <v>23</v>
      </c>
      <c r="C16" s="14" t="s">
        <v>33</v>
      </c>
      <c r="D16" s="14" t="s">
        <v>33</v>
      </c>
      <c r="E16" s="2">
        <v>10</v>
      </c>
      <c r="F16" s="15">
        <v>542</v>
      </c>
      <c r="G16" s="2">
        <f t="shared" si="0"/>
        <v>5420</v>
      </c>
      <c r="H16" s="3"/>
      <c r="I16" s="3"/>
      <c r="J16" s="3">
        <f t="shared" si="6"/>
        <v>0</v>
      </c>
      <c r="K16" s="3">
        <f t="shared" si="7"/>
        <v>542</v>
      </c>
      <c r="L16" s="4">
        <f t="shared" si="8"/>
        <v>0</v>
      </c>
      <c r="M16" s="4">
        <f t="shared" si="9"/>
        <v>5420</v>
      </c>
      <c r="N16" s="13" t="str">
        <f t="shared" si="10"/>
        <v>KEEP SELLING</v>
      </c>
      <c r="P16" s="18"/>
    </row>
    <row r="17" spans="1:14" ht="18" customHeight="1" x14ac:dyDescent="0.2">
      <c r="A17" s="14" t="s">
        <v>22</v>
      </c>
      <c r="B17" s="14" t="s">
        <v>23</v>
      </c>
      <c r="C17" s="14" t="s">
        <v>34</v>
      </c>
      <c r="D17" s="14" t="s">
        <v>34</v>
      </c>
      <c r="E17" s="2">
        <v>10</v>
      </c>
      <c r="F17" s="15">
        <v>828</v>
      </c>
      <c r="G17" s="2">
        <f t="shared" si="0"/>
        <v>8280</v>
      </c>
      <c r="H17" s="3">
        <v>907</v>
      </c>
      <c r="I17" s="3"/>
      <c r="J17" s="3">
        <f t="shared" si="6"/>
        <v>907</v>
      </c>
      <c r="K17" s="3">
        <f t="shared" si="7"/>
        <v>-79</v>
      </c>
      <c r="L17" s="4">
        <f t="shared" si="8"/>
        <v>9070</v>
      </c>
      <c r="M17" s="4">
        <f t="shared" si="9"/>
        <v>-790</v>
      </c>
      <c r="N17" s="13" t="str">
        <f t="shared" si="10"/>
        <v>DO NOT SELL</v>
      </c>
    </row>
    <row r="18" spans="1:14" ht="18" customHeight="1" x14ac:dyDescent="0.2">
      <c r="A18" s="14" t="s">
        <v>22</v>
      </c>
      <c r="B18" s="14" t="s">
        <v>23</v>
      </c>
      <c r="C18" s="14" t="s">
        <v>38</v>
      </c>
      <c r="D18" s="14" t="s">
        <v>38</v>
      </c>
      <c r="E18" s="2">
        <v>30</v>
      </c>
      <c r="F18" s="15">
        <v>14</v>
      </c>
      <c r="G18" s="2">
        <f t="shared" si="0"/>
        <v>420</v>
      </c>
      <c r="H18" s="3"/>
      <c r="I18" s="3"/>
      <c r="J18" s="3">
        <f t="shared" si="6"/>
        <v>0</v>
      </c>
      <c r="K18" s="3">
        <f t="shared" si="7"/>
        <v>14</v>
      </c>
      <c r="L18" s="4">
        <f t="shared" si="8"/>
        <v>0</v>
      </c>
      <c r="M18" s="4">
        <f t="shared" si="9"/>
        <v>420</v>
      </c>
      <c r="N18" s="13" t="str">
        <f t="shared" si="10"/>
        <v>KEEP SELLING</v>
      </c>
    </row>
    <row r="19" spans="1:14" ht="18" customHeight="1" x14ac:dyDescent="0.2">
      <c r="A19" s="14" t="s">
        <v>22</v>
      </c>
      <c r="B19" s="14" t="s">
        <v>23</v>
      </c>
      <c r="C19" s="14" t="s">
        <v>39</v>
      </c>
      <c r="D19" s="14" t="s">
        <v>39</v>
      </c>
      <c r="E19" s="2">
        <v>30</v>
      </c>
      <c r="F19" s="15">
        <v>49</v>
      </c>
      <c r="G19" s="2">
        <f t="shared" si="0"/>
        <v>1470</v>
      </c>
      <c r="H19" s="3"/>
      <c r="I19" s="3"/>
      <c r="J19" s="3">
        <f t="shared" si="6"/>
        <v>0</v>
      </c>
      <c r="K19" s="3">
        <f t="shared" si="7"/>
        <v>49</v>
      </c>
      <c r="L19" s="4">
        <f t="shared" si="8"/>
        <v>0</v>
      </c>
      <c r="M19" s="4">
        <f t="shared" si="9"/>
        <v>1470</v>
      </c>
      <c r="N19" s="13" t="str">
        <f t="shared" si="10"/>
        <v>KEEP SELLING</v>
      </c>
    </row>
    <row r="20" spans="1:14" ht="18" customHeight="1" x14ac:dyDescent="0.2">
      <c r="A20" s="14" t="s">
        <v>22</v>
      </c>
      <c r="B20" s="14" t="s">
        <v>23</v>
      </c>
      <c r="C20" s="14" t="s">
        <v>13</v>
      </c>
      <c r="D20" s="14" t="s">
        <v>13</v>
      </c>
      <c r="E20" s="2">
        <v>80</v>
      </c>
      <c r="F20" s="15">
        <v>705</v>
      </c>
      <c r="G20" s="2">
        <f t="shared" si="0"/>
        <v>56400</v>
      </c>
      <c r="H20" s="3"/>
      <c r="I20" s="3"/>
      <c r="J20" s="3">
        <f t="shared" si="6"/>
        <v>0</v>
      </c>
      <c r="K20" s="3">
        <f t="shared" si="7"/>
        <v>705</v>
      </c>
      <c r="L20" s="4">
        <f t="shared" si="8"/>
        <v>0</v>
      </c>
      <c r="M20" s="4">
        <f t="shared" si="9"/>
        <v>56400</v>
      </c>
      <c r="N20" s="13" t="str">
        <f t="shared" si="10"/>
        <v>KEEP SELLING</v>
      </c>
    </row>
    <row r="21" spans="1:14" ht="18" customHeight="1" x14ac:dyDescent="0.2">
      <c r="A21" s="14" t="s">
        <v>24</v>
      </c>
      <c r="B21" s="14" t="s">
        <v>25</v>
      </c>
      <c r="C21" s="14" t="s">
        <v>13</v>
      </c>
      <c r="D21" s="14" t="s">
        <v>13</v>
      </c>
      <c r="E21" s="2">
        <v>50</v>
      </c>
      <c r="F21" s="15">
        <v>2265</v>
      </c>
      <c r="G21" s="2">
        <f t="shared" si="0"/>
        <v>113250</v>
      </c>
      <c r="H21" s="3">
        <v>10</v>
      </c>
      <c r="I21" s="3">
        <v>161</v>
      </c>
      <c r="J21" s="3">
        <f t="shared" si="6"/>
        <v>171</v>
      </c>
      <c r="K21" s="3">
        <f t="shared" si="7"/>
        <v>2094</v>
      </c>
      <c r="L21" s="4">
        <f t="shared" si="8"/>
        <v>8550</v>
      </c>
      <c r="M21" s="4">
        <f t="shared" si="9"/>
        <v>104700</v>
      </c>
      <c r="N21" s="13" t="str">
        <f t="shared" si="10"/>
        <v>KEEP SELLING</v>
      </c>
    </row>
  </sheetData>
  <conditionalFormatting sqref="H2:I21 K2:N21">
    <cfRule type="cellIs" dxfId="2" priority="1" operator="lessThan">
      <formula>0</formula>
    </cfRule>
  </conditionalFormatting>
  <conditionalFormatting sqref="N1:N1048576">
    <cfRule type="containsText" dxfId="1" priority="24" operator="containsText" text="DO NOT SELL">
      <formula>NOT(ISERROR(SEARCH("DO NOT SELL",N1)))</formula>
    </cfRule>
    <cfRule type="containsText" dxfId="0" priority="25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of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2026-01-07T14:54:50Z</dcterms:modified>
  <cp:category/>
  <cp:contentStatus/>
</cp:coreProperties>
</file>