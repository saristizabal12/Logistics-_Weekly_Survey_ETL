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3\"/>
    </mc:Choice>
  </mc:AlternateContent>
  <xr:revisionPtr revIDLastSave="0" documentId="13_ncr:1_{A6C8828F-441F-4DCD-A202-357D71A7D79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3" i="1"/>
  <c r="L2" i="1"/>
  <c r="K5" i="1"/>
  <c r="M5" i="1" s="1"/>
  <c r="K4" i="1"/>
  <c r="M4" i="1" s="1"/>
  <c r="K3" i="1"/>
  <c r="M3" i="1" s="1"/>
  <c r="K2" i="1"/>
  <c r="M2" i="1" s="1"/>
</calcChain>
</file>

<file path=xl/sharedStrings.xml><?xml version="1.0" encoding="utf-8"?>
<sst xmlns="http://schemas.openxmlformats.org/spreadsheetml/2006/main" count="39" uniqueCount="26">
  <si>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</si>
  <si>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</si>
  <si>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</si>
  <si>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</si>
  <si>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</si>
  <si>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</si>
  <si>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</si>
  <si>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</si>
  <si>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G-TAB-A11</t>
  </si>
  <si>
    <t>VITEL MOBILE, INC.</t>
  </si>
  <si>
    <t>G-A26-5G</t>
  </si>
  <si>
    <t>G-A36-5G</t>
  </si>
  <si>
    <t>G-A56-5G</t>
  </si>
  <si>
    <t>A2S3A0A250000495</t>
  </si>
  <si>
    <t>A0S3A0A250001307</t>
  </si>
  <si>
    <t>VITEL W1-W3 A11 OM ST Promo</t>
  </si>
  <si>
    <t>A2S3A0A250000496</t>
  </si>
  <si>
    <t>A0S3A0A250001317</t>
  </si>
  <si>
    <t>VITEL W1-W3 A Series Flash OM ST Promo</t>
  </si>
  <si>
    <t>Incentive</t>
  </si>
  <si>
    <t>AS-IS Quantity</t>
  </si>
  <si>
    <t>TO-BE Quantity</t>
  </si>
  <si>
    <t>DELTA Quantity</t>
  </si>
  <si>
    <t>DELTA Amt($)</t>
  </si>
  <si>
    <t>TO-BE Amt($)</t>
  </si>
  <si>
    <t>AS-IS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</si>
</sst>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showGridLines="0" tabSelected="1" topLeftCell="D1" workbookViewId="0">
      <pane ySplit="1" topLeftCell="A2" activePane="bottomLeft" state="frozen"/>
      <selection pane="bottomLeft" activeCell="L4" sqref="L4"/>
    </sheetView>
  </sheetViews>
  <sheetFormatPr defaultRowHeight="12.75" x14ac:dyDescent="0.2"/>
  <cols>
    <col min="1" max="1" width="22.42578125" bestFit="1" customWidth="1"/>
    <col min="2" max="2" width="38.28515625" bestFit="1" customWidth="1"/>
    <col min="3" max="3" width="28" bestFit="1" customWidth="1"/>
    <col min="4" max="4" width="25.140625" bestFit="1" customWidth="1"/>
    <col min="5" max="5" width="9.42578125" bestFit="1" customWidth="1"/>
    <col min="6" max="6" width="13.285156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20</v>
      </c>
      <c r="I1" s="1" t="s">
        <v>25</v>
      </c>
      <c r="J1" s="1" t="s">
        <v>21</v>
      </c>
      <c r="K1" s="1" t="s">
        <v>24</v>
      </c>
      <c r="L1" s="1" t="s">
        <v>22</v>
      </c>
      <c r="M1" s="1" t="s">
        <v>23</v>
      </c>
      <c r="N1" s="1" t="s">
        <v>6</v>
      </c>
      <c r="O1" s="1" t="s">
        <v>7</v>
      </c>
    </row>
    <row r="2" spans="1:15" x14ac:dyDescent="0.2">
      <c r="A2" s="2" t="s">
        <v>14</v>
      </c>
      <c r="B2" s="2" t="s">
        <v>15</v>
      </c>
      <c r="C2" s="2" t="s">
        <v>13</v>
      </c>
      <c r="D2" s="2" t="s">
        <v>9</v>
      </c>
      <c r="E2" s="2" t="s">
        <v>8</v>
      </c>
      <c r="F2" s="2" t="s">
        <v>8</v>
      </c>
      <c r="G2" s="6">
        <v>13</v>
      </c>
      <c r="H2" s="7">
        <v>910</v>
      </c>
      <c r="I2" s="6">
        <v>11830</v>
      </c>
      <c r="J2" s="5">
        <v>0</v>
      </c>
      <c r="K2" s="4">
        <f t="shared" ref="K2:K5" si="0">J2*G2</f>
        <v>0</v>
      </c>
      <c r="L2" s="7">
        <f t="shared" ref="L2:L5" si="1">J2-H2</f>
        <v>-910</v>
      </c>
      <c r="M2" s="6">
        <f t="shared" ref="M2:M5" si="2">K2-I2</f>
        <v>-11830</v>
      </c>
      <c r="N2" s="3">
        <v>46020</v>
      </c>
      <c r="O2" s="3">
        <v>46040</v>
      </c>
    </row>
    <row r="3" spans="1:15" x14ac:dyDescent="0.2">
      <c r="A3" s="2" t="s">
        <v>17</v>
      </c>
      <c r="B3" s="2" t="s">
        <v>18</v>
      </c>
      <c r="C3" s="2" t="s">
        <v>16</v>
      </c>
      <c r="D3" s="2" t="s">
        <v>9</v>
      </c>
      <c r="E3" s="2" t="s">
        <v>10</v>
      </c>
      <c r="F3" s="2" t="s">
        <v>10</v>
      </c>
      <c r="G3" s="6">
        <v>45</v>
      </c>
      <c r="H3" s="7">
        <v>2502</v>
      </c>
      <c r="I3" s="6">
        <v>112590</v>
      </c>
      <c r="J3" s="5">
        <v>4182</v>
      </c>
      <c r="K3" s="4">
        <f t="shared" si="0"/>
        <v>188190</v>
      </c>
      <c r="L3" s="7">
        <f t="shared" si="1"/>
        <v>1680</v>
      </c>
      <c r="M3" s="6">
        <f t="shared" si="2"/>
        <v>75600</v>
      </c>
      <c r="N3" s="3">
        <v>46020</v>
      </c>
      <c r="O3" s="3">
        <v>46040</v>
      </c>
    </row>
    <row r="4" spans="1:15" x14ac:dyDescent="0.2">
      <c r="A4" s="2" t="s">
        <v>17</v>
      </c>
      <c r="B4" s="2" t="s">
        <v>18</v>
      </c>
      <c r="C4" s="2" t="s">
        <v>16</v>
      </c>
      <c r="D4" s="2" t="s">
        <v>9</v>
      </c>
      <c r="E4" s="2" t="s">
        <v>11</v>
      </c>
      <c r="F4" s="2" t="s">
        <v>11</v>
      </c>
      <c r="G4" s="6">
        <v>50</v>
      </c>
      <c r="H4" s="7">
        <v>2670</v>
      </c>
      <c r="I4" s="6">
        <v>133500</v>
      </c>
      <c r="J4" s="5">
        <v>2638</v>
      </c>
      <c r="K4" s="4">
        <f t="shared" si="0"/>
        <v>131900</v>
      </c>
      <c r="L4" s="7">
        <f t="shared" si="1"/>
        <v>-32</v>
      </c>
      <c r="M4" s="6">
        <f t="shared" si="2"/>
        <v>-1600</v>
      </c>
      <c r="N4" s="3">
        <v>46020</v>
      </c>
      <c r="O4" s="3">
        <v>46040</v>
      </c>
    </row>
    <row r="5" spans="1:15" x14ac:dyDescent="0.2">
      <c r="A5" s="2" t="s">
        <v>17</v>
      </c>
      <c r="B5" s="2" t="s">
        <v>18</v>
      </c>
      <c r="C5" s="2" t="s">
        <v>16</v>
      </c>
      <c r="D5" s="2" t="s">
        <v>9</v>
      </c>
      <c r="E5" s="2" t="s">
        <v>12</v>
      </c>
      <c r="F5" s="2" t="s">
        <v>12</v>
      </c>
      <c r="G5" s="6">
        <v>60</v>
      </c>
      <c r="H5" s="7">
        <v>4702</v>
      </c>
      <c r="I5" s="6">
        <v>282120</v>
      </c>
      <c r="J5" s="5">
        <v>3468</v>
      </c>
      <c r="K5" s="4">
        <f t="shared" si="0"/>
        <v>208080</v>
      </c>
      <c r="L5" s="7">
        <f t="shared" si="1"/>
        <v>-1234</v>
      </c>
      <c r="M5" s="6">
        <f t="shared" si="2"/>
        <v>-74040</v>
      </c>
      <c r="N5" s="3">
        <v>46020</v>
      </c>
      <c r="O5" s="3">
        <v>46040</v>
      </c>
    </row>
  </sheetData>
  <autoFilter ref="A1:O5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2026-01-12T14:56:52Z</dcterms:created>
  <dcterms:modified xsi:type="dcterms:W3CDTF">2026-02-03T20:50:36Z</dcterms:modified>
  <cp:category/>
</cp:coreProperties>
</file>