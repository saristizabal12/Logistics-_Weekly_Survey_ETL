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3\"/>
    </mc:Choice>
  </mc:AlternateContent>
  <xr:revisionPtr revIDLastSave="0" documentId="13_ncr:1_{87BE97EA-25AD-4882-B281-5826E22C9EA9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As of now" sheetId="13" r:id="rId1"/>
  </sheets>
  <definedNames>
    <definedName name="_xlnm._FilterDatabase" localSheetId="0" hidden="1">'As of now'!$A$1:$N$5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3" l="1"/>
  <c r="J3" i="13"/>
  <c r="K3" i="13" s="1"/>
  <c r="J4" i="13"/>
  <c r="L4" i="13" s="1"/>
  <c r="J5" i="13"/>
  <c r="L5" i="13" s="1"/>
  <c r="G5" i="13"/>
  <c r="G4" i="13"/>
  <c r="G3" i="13"/>
  <c r="K2" i="13"/>
  <c r="G2" i="13"/>
  <c r="P2" i="13" s="1"/>
  <c r="P3" i="13" l="1"/>
  <c r="M4" i="13"/>
  <c r="N4" i="13" s="1"/>
  <c r="M5" i="13"/>
  <c r="N5" i="13" s="1"/>
  <c r="K5" i="13"/>
  <c r="K4" i="13"/>
  <c r="L2" i="13"/>
  <c r="Q2" i="13" s="1"/>
  <c r="L3" i="13"/>
  <c r="Q3" i="13" s="1"/>
  <c r="R2" i="13" l="1"/>
  <c r="M2" i="13"/>
  <c r="N2" i="13" s="1"/>
  <c r="M3" i="13"/>
  <c r="N3" i="13" s="1"/>
  <c r="S2" i="13"/>
</calcChain>
</file>

<file path=xl/sharedStrings.xml><?xml version="1.0" encoding="utf-8"?>
<sst xmlns="http://schemas.openxmlformats.org/spreadsheetml/2006/main" count="30" uniqueCount="21">
  <si>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</si>
  <si>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</si>
  <si>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</si>
  <si>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</si>
  <si>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</si>
  <si>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</si>
  <si>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</si>
  <si>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</si>
  <si>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</si>
  <si>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</si>
  <si>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</si>
  <si>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</si>
  <si>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</si>
  <si>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A0S3A0A250001307</t>
  </si>
  <si>
    <t>A0S3A0A250001317</t>
  </si>
  <si>
    <t>VITEL W1-W3 A11 OM ST Promo</t>
  </si>
  <si>
    <t>VITEL W1-W3 A Series Flash OM ST Promo</t>
  </si>
  <si>
    <t>G-TAB-A11</t>
  </si>
  <si>
    <t>G-A26-5G</t>
  </si>
  <si>
    <t>G-A36-5G</t>
  </si>
  <si>
    <t>G-A56-5G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</si>
</sst>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S5"/>
  <sheetViews>
    <sheetView showGridLines="0" tabSelected="1" topLeftCell="C1" zoomScale="130" zoomScaleNormal="130" workbookViewId="0">
      <pane ySplit="1" topLeftCell="A2" activePane="bottomLeft" state="frozen"/>
      <selection pane="bottomLeft" activeCell="H3" sqref="H3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  <col min="19" max="19" width="11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1307</v>
      </c>
      <c r="S1" s="11">
        <v>1317</v>
      </c>
    </row>
    <row r="2" spans="1:19" ht="18" customHeight="1" x14ac:dyDescent="0.2">
      <c r="A2" s="14" t="s">
        <v>13</v>
      </c>
      <c r="B2" s="14" t="s">
        <v>15</v>
      </c>
      <c r="C2" s="14" t="s">
        <v>17</v>
      </c>
      <c r="D2" s="14" t="s">
        <v>17</v>
      </c>
      <c r="E2" s="2">
        <v>13</v>
      </c>
      <c r="F2" s="15">
        <v>910</v>
      </c>
      <c r="G2" s="2">
        <f t="shared" ref="G2:G5" si="0">E2*F2</f>
        <v>11830</v>
      </c>
      <c r="H2" s="3"/>
      <c r="I2" s="3"/>
      <c r="J2" s="3">
        <f t="shared" ref="J2:J3" si="1">H2+I2</f>
        <v>0</v>
      </c>
      <c r="K2" s="3">
        <f t="shared" ref="K2:K3" si="2">F2-J2</f>
        <v>910</v>
      </c>
      <c r="L2" s="4">
        <f t="shared" ref="L2:L3" si="3">J2*E2</f>
        <v>0</v>
      </c>
      <c r="M2" s="4">
        <f t="shared" ref="M2:M3" si="4">G2-L2</f>
        <v>11830</v>
      </c>
      <c r="N2" s="13" t="str">
        <f t="shared" ref="N2:N3" si="5">IF(M2&gt;0,"KEEP SELLING", "DO NOT SELL")</f>
        <v>KEEP SELLING</v>
      </c>
      <c r="P2" s="10">
        <f>SUM(G2)</f>
        <v>11830</v>
      </c>
      <c r="Q2" s="9">
        <f>SUM(L2)</f>
        <v>0</v>
      </c>
      <c r="R2" s="12">
        <f>P2-Q2</f>
        <v>11830</v>
      </c>
      <c r="S2" s="12">
        <f>P3-Q3</f>
        <v>59730</v>
      </c>
    </row>
    <row r="3" spans="1:19" ht="18" customHeight="1" x14ac:dyDescent="0.2">
      <c r="A3" s="14" t="s">
        <v>14</v>
      </c>
      <c r="B3" s="14" t="s">
        <v>16</v>
      </c>
      <c r="C3" s="14" t="s">
        <v>18</v>
      </c>
      <c r="D3" s="14" t="s">
        <v>18</v>
      </c>
      <c r="E3" s="2">
        <v>45</v>
      </c>
      <c r="F3" s="15">
        <v>3200</v>
      </c>
      <c r="G3" s="2">
        <f t="shared" si="0"/>
        <v>144000</v>
      </c>
      <c r="H3" s="3">
        <v>1982</v>
      </c>
      <c r="I3" s="3">
        <v>264</v>
      </c>
      <c r="J3" s="3">
        <f t="shared" si="1"/>
        <v>2246</v>
      </c>
      <c r="K3" s="3">
        <f t="shared" si="2"/>
        <v>954</v>
      </c>
      <c r="L3" s="4">
        <f t="shared" si="3"/>
        <v>101070</v>
      </c>
      <c r="M3" s="4">
        <f t="shared" si="4"/>
        <v>42930</v>
      </c>
      <c r="N3" s="13" t="str">
        <f t="shared" si="5"/>
        <v>KEEP SELLING</v>
      </c>
      <c r="P3" s="10">
        <f>SUM(G3:G5)</f>
        <v>391000</v>
      </c>
      <c r="Q3" s="9">
        <f>SUM(L3:L5)</f>
        <v>331270</v>
      </c>
    </row>
    <row r="4" spans="1:19" ht="18" customHeight="1" x14ac:dyDescent="0.2">
      <c r="A4" s="14" t="s">
        <v>14</v>
      </c>
      <c r="B4" s="14" t="s">
        <v>16</v>
      </c>
      <c r="C4" s="14" t="s">
        <v>19</v>
      </c>
      <c r="D4" s="14" t="s">
        <v>19</v>
      </c>
      <c r="E4" s="2">
        <v>50</v>
      </c>
      <c r="F4" s="15">
        <v>2000</v>
      </c>
      <c r="G4" s="2">
        <f t="shared" si="0"/>
        <v>100000</v>
      </c>
      <c r="H4" s="3">
        <v>1471</v>
      </c>
      <c r="I4" s="3">
        <v>487</v>
      </c>
      <c r="J4" s="3">
        <f t="shared" ref="J4:J5" si="6">H4+I4</f>
        <v>1958</v>
      </c>
      <c r="K4" s="3">
        <f t="shared" ref="K4:K5" si="7">F4-J4</f>
        <v>42</v>
      </c>
      <c r="L4" s="4">
        <f t="shared" ref="L4:L5" si="8">J4*E4</f>
        <v>97900</v>
      </c>
      <c r="M4" s="4">
        <f t="shared" ref="M4:M5" si="9">G4-L4</f>
        <v>2100</v>
      </c>
      <c r="N4" s="13" t="str">
        <f t="shared" ref="N4:N5" si="10">IF(M4&gt;0,"KEEP SELLING", "DO NOT SELL")</f>
        <v>KEEP SELLING</v>
      </c>
      <c r="P4" s="10"/>
      <c r="Q4" s="9"/>
    </row>
    <row r="5" spans="1:19" ht="18" customHeight="1" x14ac:dyDescent="0.2">
      <c r="A5" s="14" t="s">
        <v>14</v>
      </c>
      <c r="B5" s="14" t="s">
        <v>16</v>
      </c>
      <c r="C5" s="14" t="s">
        <v>20</v>
      </c>
      <c r="D5" s="14" t="s">
        <v>20</v>
      </c>
      <c r="E5" s="2">
        <v>60</v>
      </c>
      <c r="F5" s="15">
        <v>2450</v>
      </c>
      <c r="G5" s="2">
        <f t="shared" si="0"/>
        <v>147000</v>
      </c>
      <c r="H5" s="3">
        <v>1818</v>
      </c>
      <c r="I5" s="3">
        <v>387</v>
      </c>
      <c r="J5" s="3">
        <f t="shared" si="6"/>
        <v>2205</v>
      </c>
      <c r="K5" s="3">
        <f t="shared" si="7"/>
        <v>245</v>
      </c>
      <c r="L5" s="4">
        <f t="shared" si="8"/>
        <v>132300</v>
      </c>
      <c r="M5" s="4">
        <f t="shared" si="9"/>
        <v>14700</v>
      </c>
      <c r="N5" s="13" t="str">
        <f t="shared" si="10"/>
        <v>KEEP SELLING</v>
      </c>
      <c r="P5" s="10"/>
      <c r="Q5" s="9"/>
    </row>
  </sheetData>
  <conditionalFormatting sqref="H2:I5 K2:N5">
    <cfRule type="cellIs" dxfId="2" priority="1" operator="lessThan">
      <formula>0</formula>
    </cfRule>
  </conditionalFormatting>
  <conditionalFormatting sqref="N1:N1048576">
    <cfRule type="containsText" dxfId="1" priority="24" operator="containsText" text="DO NOT SELL">
      <formula>NOT(ISERROR(SEARCH("DO NOT SELL",N1)))</formula>
    </cfRule>
    <cfRule type="containsText" dxfId="0" priority="2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2026-01-16T16:19:55Z</dcterms:modified>
  <cp:category/>
  <cp:contentStatus/>
</cp:coreProperties>
</file>