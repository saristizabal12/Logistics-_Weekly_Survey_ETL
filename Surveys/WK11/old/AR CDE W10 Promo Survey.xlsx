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1\"/>
    </mc:Choice>
  </mc:AlternateContent>
  <xr:revisionPtr revIDLastSave="0" documentId="13_ncr:1_{C4BEBB5E-4B2D-459C-9C19-93958357B89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Sheet1!$A$1:$O$29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9" i="1" l="1"/>
  <c r="K28" i="1"/>
  <c r="M28" i="1" s="1"/>
  <c r="K27" i="1"/>
  <c r="M27" i="1" s="1"/>
  <c r="K26" i="1"/>
  <c r="M26" i="1" s="1"/>
  <c r="K25" i="1"/>
  <c r="M25" i="1" s="1"/>
  <c r="K24" i="1"/>
  <c r="M24" i="1" s="1"/>
  <c r="K23" i="1"/>
  <c r="M23" i="1" s="1"/>
  <c r="K22" i="1"/>
  <c r="M22" i="1" s="1"/>
  <c r="K21" i="1"/>
  <c r="M21" i="1" s="1"/>
  <c r="K20" i="1"/>
  <c r="M20" i="1" s="1"/>
  <c r="K19" i="1"/>
  <c r="M19" i="1" s="1"/>
  <c r="K18" i="1"/>
  <c r="M18" i="1" s="1"/>
  <c r="K17" i="1"/>
  <c r="M17" i="1" s="1"/>
  <c r="K16" i="1"/>
  <c r="M16" i="1" s="1"/>
  <c r="K15" i="1"/>
  <c r="M15" i="1" s="1"/>
  <c r="K14" i="1"/>
  <c r="M14" i="1" s="1"/>
  <c r="K13" i="1"/>
  <c r="K12" i="1"/>
  <c r="M12" i="1" s="1"/>
  <c r="K11" i="1"/>
  <c r="M11" i="1" s="1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  <c r="K4" i="1"/>
  <c r="M4" i="1" s="1"/>
  <c r="K3" i="1"/>
  <c r="M3" i="1" s="1"/>
  <c r="K2" i="1"/>
  <c r="M2" i="1" s="1"/>
  <c r="M29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M13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<sst xmlns="http://schemas.openxmlformats.org/spreadsheetml/2006/main" count="183" uniqueCount="60">
  <si>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</si>
  <si>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</si>
  <si>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</si>
  <si>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</si>
  <si>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</si>
  <si>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</si>
  <si>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</si>
  <si>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</si>
  <si>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VITEL MOBILE, INC.</t>
  </si>
  <si>
    <t>G-A06</t>
  </si>
  <si>
    <t>G-A07</t>
  </si>
  <si>
    <t>G-A16</t>
  </si>
  <si>
    <t>G-A17</t>
  </si>
  <si>
    <t>G-BUDS3-FE</t>
  </si>
  <si>
    <t>G-S25-ULTRA</t>
  </si>
  <si>
    <t>G-TAB-S10-LITE</t>
  </si>
  <si>
    <t>SM-X520NLBATPA</t>
  </si>
  <si>
    <t>TABLET,SM-X520,LIGHT BLUE,TPA</t>
  </si>
  <si>
    <t>SM-X520NLBETPA</t>
  </si>
  <si>
    <t>SM-X520NZAATPA</t>
  </si>
  <si>
    <t>TABLET,SM-X520,GRAY,TPA</t>
  </si>
  <si>
    <t>SM-X520NZAETPA</t>
  </si>
  <si>
    <t>SM-X520NZSATPA</t>
  </si>
  <si>
    <t>TABLET,SM-X520,SILVER,TPA</t>
  </si>
  <si>
    <t>SM-X520NZSETPA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</si>
  <si>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</si>
  <si>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</si>
  <si>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</si>
  <si>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</si>
  <si>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</si>
  <si>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</si>
  <si>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</si>
  <si>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</si>
  <si>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SM-X620NLBETPA</t>
  </si>
  <si>
    <t>SM-X620NZAATPA</t>
  </si>
  <si>
    <t>TABLET,SM-X620,GRAY,TPA</t>
  </si>
  <si>
    <t>SM-X620NZAETPA</t>
  </si>
  <si>
    <t>SM-X620NZSATPA</t>
  </si>
  <si>
    <t>TABLET,SM-X620,SILVER,TPA</t>
  </si>
  <si>
    <t>SM-X620NZSETPA</t>
  </si>
  <si>
    <t>SM-X626BLBATPA</t>
  </si>
  <si>
    <t>TABLET,SM-X626B,LIGHT BLUE,TPA</t>
  </si>
  <si>
    <t>SM-X626BZAATPA</t>
  </si>
  <si>
    <t>TABLET,SM-X626B,GRAY,TPA</t>
  </si>
  <si>
    <t>SM-X626BZSATPA</t>
  </si>
  <si>
    <t>TABLET,SM-X626B,SILVER,TPA</t>
  </si>
  <si>
    <t>A2S3A0A260000060</t>
  </si>
  <si>
    <t>A0S3A0A260000172</t>
  </si>
  <si>
    <t>A2S3A0A260000061</t>
  </si>
  <si>
    <t>G-A17-5G</t>
  </si>
  <si>
    <t>A0S3A0A260000177</t>
  </si>
  <si>
    <t>Incentive</t>
  </si>
  <si>
    <t>AS-IS Quantity</t>
  </si>
  <si>
    <t>AS-IS Amt($)</t>
  </si>
  <si>
    <t>TO-BE Quantity</t>
  </si>
  <si>
    <t>TO-BE Amt($)</t>
  </si>
  <si>
    <t>DELTA Quantity</t>
  </si>
  <si>
    <t>DELTA Amt($)</t>
  </si>
  <si>
    <t>VITEL W10-W11 → W10 AR Special Market Sell-Thru Promotion</t>
  </si>
  <si>
    <t>VITEL W10-W11 → W10 CDE Special Market Sell-Thru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</si>
</sst>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3" fontId="0" fillId="3" borderId="1" xfId="0" applyNumberFormat="1" applyFill="1" applyBorder="1"/>
    <xf numFmtId="0" fontId="0" fillId="4" borderId="1" xfId="0" applyFill="1" applyBorder="1"/>
    <xf numFmtId="8" fontId="0" fillId="5" borderId="1" xfId="0" applyNumberFormat="1" applyFill="1" applyBorder="1"/>
    <xf numFmtId="3" fontId="0" fillId="5" borderId="1" xfId="0" applyNumberFormat="1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showGridLines="0" tabSelected="1" workbookViewId="0">
      <pane ySplit="1" topLeftCell="A2" activePane="bottomLeft" state="frozen"/>
      <selection pane="bottomLeft" activeCell="N18" sqref="N18"/>
    </sheetView>
  </sheetViews>
  <sheetFormatPr defaultRowHeight="12.75" x14ac:dyDescent="0.2"/>
  <cols>
    <col min="1" max="1" width="20.140625" bestFit="1" customWidth="1"/>
    <col min="2" max="2" width="59.28515625" bestFit="1" customWidth="1"/>
    <col min="3" max="3" width="25.7109375" bestFit="1" customWidth="1"/>
    <col min="4" max="4" width="32.7109375" bestFit="1" customWidth="1"/>
    <col min="5" max="5" width="16.140625" bestFit="1" customWidth="1"/>
    <col min="6" max="6" width="31.42578125" bestFit="1" customWidth="1"/>
    <col min="7" max="7" width="10.85546875" bestFit="1" customWidth="1"/>
    <col min="8" max="8" width="14" bestFit="1" customWidth="1"/>
    <col min="9" max="9" width="12.42578125" bestFit="1" customWidth="1"/>
    <col min="10" max="10" width="14" bestFit="1" customWidth="1"/>
    <col min="11" max="11" width="12.42578125" bestFit="1" customWidth="1"/>
    <col min="12" max="12" width="14" bestFit="1" customWidth="1"/>
    <col min="13" max="13" width="12.42578125" bestFit="1" customWidth="1"/>
    <col min="14" max="14" width="19.28515625" bestFit="1" customWidth="1"/>
    <col min="15" max="15" width="18.28515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6</v>
      </c>
      <c r="O1" s="1" t="s">
        <v>7</v>
      </c>
    </row>
    <row r="2" spans="1:15" x14ac:dyDescent="0.2">
      <c r="A2" s="2" t="s">
        <v>47</v>
      </c>
      <c r="B2" s="6" t="s">
        <v>58</v>
      </c>
      <c r="C2" s="2" t="s">
        <v>46</v>
      </c>
      <c r="D2" s="2" t="s">
        <v>8</v>
      </c>
      <c r="E2" s="2" t="s">
        <v>9</v>
      </c>
      <c r="F2" s="2" t="s">
        <v>9</v>
      </c>
      <c r="G2" s="7">
        <v>5</v>
      </c>
      <c r="H2" s="8">
        <v>3904</v>
      </c>
      <c r="I2" s="7">
        <v>19520</v>
      </c>
      <c r="J2" s="5"/>
      <c r="K2" s="4">
        <f t="shared" ref="K2:K26" si="0">J2*G2</f>
        <v>0</v>
      </c>
      <c r="L2" s="8">
        <f t="shared" ref="L2:L26" si="1">J2-H2</f>
        <v>-3904</v>
      </c>
      <c r="M2" s="7">
        <f t="shared" ref="M2:M26" si="2">K2-I2</f>
        <v>-19520</v>
      </c>
      <c r="N2" s="3">
        <v>46083</v>
      </c>
      <c r="O2" s="9">
        <v>46089</v>
      </c>
    </row>
    <row r="3" spans="1:15" x14ac:dyDescent="0.2">
      <c r="A3" s="2" t="s">
        <v>47</v>
      </c>
      <c r="B3" s="6" t="s">
        <v>58</v>
      </c>
      <c r="C3" s="2" t="s">
        <v>46</v>
      </c>
      <c r="D3" s="2" t="s">
        <v>8</v>
      </c>
      <c r="E3" s="2" t="s">
        <v>10</v>
      </c>
      <c r="F3" s="2" t="s">
        <v>10</v>
      </c>
      <c r="G3" s="7">
        <v>5</v>
      </c>
      <c r="H3" s="8">
        <v>1778</v>
      </c>
      <c r="I3" s="7">
        <v>8890</v>
      </c>
      <c r="J3" s="5">
        <v>800</v>
      </c>
      <c r="K3" s="4">
        <f t="shared" si="0"/>
        <v>4000</v>
      </c>
      <c r="L3" s="8">
        <f t="shared" si="1"/>
        <v>-978</v>
      </c>
      <c r="M3" s="7">
        <f t="shared" si="2"/>
        <v>-4890</v>
      </c>
      <c r="N3" s="3">
        <v>46083</v>
      </c>
      <c r="O3" s="9">
        <v>46089</v>
      </c>
    </row>
    <row r="4" spans="1:15" x14ac:dyDescent="0.2">
      <c r="A4" s="2" t="s">
        <v>47</v>
      </c>
      <c r="B4" s="6" t="s">
        <v>58</v>
      </c>
      <c r="C4" s="2" t="s">
        <v>46</v>
      </c>
      <c r="D4" s="2" t="s">
        <v>8</v>
      </c>
      <c r="E4" s="2" t="s">
        <v>11</v>
      </c>
      <c r="F4" s="2" t="s">
        <v>11</v>
      </c>
      <c r="G4" s="7">
        <v>2</v>
      </c>
      <c r="H4" s="8">
        <v>5194</v>
      </c>
      <c r="I4" s="7">
        <v>10388</v>
      </c>
      <c r="J4" s="5">
        <v>846</v>
      </c>
      <c r="K4" s="4">
        <f t="shared" si="0"/>
        <v>1692</v>
      </c>
      <c r="L4" s="8">
        <f t="shared" si="1"/>
        <v>-4348</v>
      </c>
      <c r="M4" s="7">
        <f t="shared" si="2"/>
        <v>-8696</v>
      </c>
      <c r="N4" s="3">
        <v>46083</v>
      </c>
      <c r="O4" s="9">
        <v>46089</v>
      </c>
    </row>
    <row r="5" spans="1:15" x14ac:dyDescent="0.2">
      <c r="A5" s="2" t="s">
        <v>47</v>
      </c>
      <c r="B5" s="6" t="s">
        <v>58</v>
      </c>
      <c r="C5" s="2" t="s">
        <v>46</v>
      </c>
      <c r="D5" s="2" t="s">
        <v>8</v>
      </c>
      <c r="E5" s="2" t="s">
        <v>12</v>
      </c>
      <c r="F5" s="2" t="s">
        <v>12</v>
      </c>
      <c r="G5" s="7">
        <v>5</v>
      </c>
      <c r="H5" s="8">
        <v>1951</v>
      </c>
      <c r="I5" s="7">
        <v>9755</v>
      </c>
      <c r="J5" s="5">
        <v>350</v>
      </c>
      <c r="K5" s="4">
        <f t="shared" si="0"/>
        <v>1750</v>
      </c>
      <c r="L5" s="8">
        <f t="shared" si="1"/>
        <v>-1601</v>
      </c>
      <c r="M5" s="7">
        <f t="shared" si="2"/>
        <v>-8005</v>
      </c>
      <c r="N5" s="3">
        <v>46083</v>
      </c>
      <c r="O5" s="9">
        <v>46089</v>
      </c>
    </row>
    <row r="6" spans="1:15" x14ac:dyDescent="0.2">
      <c r="A6" s="2" t="s">
        <v>47</v>
      </c>
      <c r="B6" s="6" t="s">
        <v>58</v>
      </c>
      <c r="C6" s="2" t="s">
        <v>46</v>
      </c>
      <c r="D6" s="2" t="s">
        <v>8</v>
      </c>
      <c r="E6" s="2" t="s">
        <v>13</v>
      </c>
      <c r="F6" s="2" t="s">
        <v>13</v>
      </c>
      <c r="G6" s="7">
        <v>4</v>
      </c>
      <c r="H6" s="8">
        <v>5</v>
      </c>
      <c r="I6" s="7">
        <v>20</v>
      </c>
      <c r="J6" s="5"/>
      <c r="K6" s="4">
        <f t="shared" si="0"/>
        <v>0</v>
      </c>
      <c r="L6" s="8">
        <f t="shared" si="1"/>
        <v>-5</v>
      </c>
      <c r="M6" s="7">
        <f t="shared" si="2"/>
        <v>-20</v>
      </c>
      <c r="N6" s="3">
        <v>46083</v>
      </c>
      <c r="O6" s="9">
        <v>46089</v>
      </c>
    </row>
    <row r="7" spans="1:15" x14ac:dyDescent="0.2">
      <c r="A7" s="2" t="s">
        <v>47</v>
      </c>
      <c r="B7" s="6" t="s">
        <v>58</v>
      </c>
      <c r="C7" s="2" t="s">
        <v>46</v>
      </c>
      <c r="D7" s="2" t="s">
        <v>8</v>
      </c>
      <c r="E7" s="2" t="s">
        <v>14</v>
      </c>
      <c r="F7" s="2" t="s">
        <v>14</v>
      </c>
      <c r="G7" s="7">
        <v>80</v>
      </c>
      <c r="H7" s="8">
        <v>457</v>
      </c>
      <c r="I7" s="7">
        <v>36560</v>
      </c>
      <c r="J7" s="5">
        <v>35</v>
      </c>
      <c r="K7" s="4">
        <f t="shared" si="0"/>
        <v>2800</v>
      </c>
      <c r="L7" s="8">
        <f t="shared" si="1"/>
        <v>-422</v>
      </c>
      <c r="M7" s="7">
        <f t="shared" si="2"/>
        <v>-33760</v>
      </c>
      <c r="N7" s="3">
        <v>46083</v>
      </c>
      <c r="O7" s="9">
        <v>46089</v>
      </c>
    </row>
    <row r="8" spans="1:15" x14ac:dyDescent="0.2">
      <c r="A8" s="2" t="s">
        <v>47</v>
      </c>
      <c r="B8" s="6" t="s">
        <v>58</v>
      </c>
      <c r="C8" s="2" t="s">
        <v>46</v>
      </c>
      <c r="D8" s="2" t="s">
        <v>8</v>
      </c>
      <c r="E8" s="2" t="s">
        <v>15</v>
      </c>
      <c r="F8" s="2" t="s">
        <v>15</v>
      </c>
      <c r="G8" s="7">
        <v>10</v>
      </c>
      <c r="H8" s="8">
        <v>156</v>
      </c>
      <c r="I8" s="7">
        <v>1560</v>
      </c>
      <c r="J8" s="5"/>
      <c r="K8" s="4">
        <f t="shared" si="0"/>
        <v>0</v>
      </c>
      <c r="L8" s="8">
        <f t="shared" si="1"/>
        <v>-156</v>
      </c>
      <c r="M8" s="7">
        <f t="shared" si="2"/>
        <v>-1560</v>
      </c>
      <c r="N8" s="3">
        <v>46083</v>
      </c>
      <c r="O8" s="9">
        <v>46089</v>
      </c>
    </row>
    <row r="9" spans="1:15" x14ac:dyDescent="0.2">
      <c r="A9" s="2" t="s">
        <v>47</v>
      </c>
      <c r="B9" s="6" t="s">
        <v>58</v>
      </c>
      <c r="C9" s="2" t="s">
        <v>46</v>
      </c>
      <c r="D9" s="2" t="s">
        <v>8</v>
      </c>
      <c r="E9" s="2" t="s">
        <v>16</v>
      </c>
      <c r="F9" s="2" t="s">
        <v>17</v>
      </c>
      <c r="G9" s="7">
        <v>10</v>
      </c>
      <c r="H9" s="8">
        <v>30</v>
      </c>
      <c r="I9" s="7">
        <v>300</v>
      </c>
      <c r="J9" s="5">
        <v>50</v>
      </c>
      <c r="K9" s="4">
        <f t="shared" si="0"/>
        <v>500</v>
      </c>
      <c r="L9" s="8">
        <f t="shared" si="1"/>
        <v>20</v>
      </c>
      <c r="M9" s="7">
        <f t="shared" si="2"/>
        <v>200</v>
      </c>
      <c r="N9" s="3">
        <v>46083</v>
      </c>
      <c r="O9" s="9">
        <v>46089</v>
      </c>
    </row>
    <row r="10" spans="1:15" x14ac:dyDescent="0.2">
      <c r="A10" s="2" t="s">
        <v>47</v>
      </c>
      <c r="B10" s="6" t="s">
        <v>58</v>
      </c>
      <c r="C10" s="2" t="s">
        <v>46</v>
      </c>
      <c r="D10" s="2" t="s">
        <v>8</v>
      </c>
      <c r="E10" s="2" t="s">
        <v>18</v>
      </c>
      <c r="F10" s="2" t="s">
        <v>17</v>
      </c>
      <c r="G10" s="7">
        <v>10</v>
      </c>
      <c r="H10" s="8">
        <v>5</v>
      </c>
      <c r="I10" s="7">
        <v>50</v>
      </c>
      <c r="J10" s="5"/>
      <c r="K10" s="4">
        <f t="shared" si="0"/>
        <v>0</v>
      </c>
      <c r="L10" s="8">
        <f t="shared" si="1"/>
        <v>-5</v>
      </c>
      <c r="M10" s="7">
        <f t="shared" si="2"/>
        <v>-50</v>
      </c>
      <c r="N10" s="3">
        <v>46083</v>
      </c>
      <c r="O10" s="9">
        <v>46089</v>
      </c>
    </row>
    <row r="11" spans="1:15" x14ac:dyDescent="0.2">
      <c r="A11" s="2" t="s">
        <v>47</v>
      </c>
      <c r="B11" s="6" t="s">
        <v>58</v>
      </c>
      <c r="C11" s="2" t="s">
        <v>46</v>
      </c>
      <c r="D11" s="2" t="s">
        <v>8</v>
      </c>
      <c r="E11" s="2" t="s">
        <v>19</v>
      </c>
      <c r="F11" s="2" t="s">
        <v>20</v>
      </c>
      <c r="G11" s="7">
        <v>10</v>
      </c>
      <c r="H11" s="8">
        <v>170</v>
      </c>
      <c r="I11" s="7">
        <v>1700</v>
      </c>
      <c r="J11" s="5">
        <v>58</v>
      </c>
      <c r="K11" s="4">
        <f t="shared" si="0"/>
        <v>580</v>
      </c>
      <c r="L11" s="8">
        <f t="shared" si="1"/>
        <v>-112</v>
      </c>
      <c r="M11" s="7">
        <f t="shared" si="2"/>
        <v>-1120</v>
      </c>
      <c r="N11" s="3">
        <v>46083</v>
      </c>
      <c r="O11" s="9">
        <v>46089</v>
      </c>
    </row>
    <row r="12" spans="1:15" x14ac:dyDescent="0.2">
      <c r="A12" s="2" t="s">
        <v>47</v>
      </c>
      <c r="B12" s="6" t="s">
        <v>58</v>
      </c>
      <c r="C12" s="2" t="s">
        <v>46</v>
      </c>
      <c r="D12" s="2" t="s">
        <v>8</v>
      </c>
      <c r="E12" s="2" t="s">
        <v>21</v>
      </c>
      <c r="F12" s="2" t="s">
        <v>20</v>
      </c>
      <c r="G12" s="7">
        <v>10</v>
      </c>
      <c r="H12" s="8">
        <v>5</v>
      </c>
      <c r="I12" s="7">
        <v>50</v>
      </c>
      <c r="J12" s="5"/>
      <c r="K12" s="4">
        <f t="shared" si="0"/>
        <v>0</v>
      </c>
      <c r="L12" s="8">
        <f t="shared" si="1"/>
        <v>-5</v>
      </c>
      <c r="M12" s="7">
        <f t="shared" si="2"/>
        <v>-50</v>
      </c>
      <c r="N12" s="3">
        <v>46083</v>
      </c>
      <c r="O12" s="9">
        <v>46089</v>
      </c>
    </row>
    <row r="13" spans="1:15" x14ac:dyDescent="0.2">
      <c r="A13" s="2" t="s">
        <v>47</v>
      </c>
      <c r="B13" s="6" t="s">
        <v>58</v>
      </c>
      <c r="C13" s="2" t="s">
        <v>46</v>
      </c>
      <c r="D13" s="2" t="s">
        <v>8</v>
      </c>
      <c r="E13" s="2" t="s">
        <v>22</v>
      </c>
      <c r="F13" s="2" t="s">
        <v>23</v>
      </c>
      <c r="G13" s="7">
        <v>10</v>
      </c>
      <c r="H13" s="8">
        <v>109</v>
      </c>
      <c r="I13" s="7">
        <v>1090</v>
      </c>
      <c r="J13" s="5"/>
      <c r="K13" s="4">
        <f t="shared" si="0"/>
        <v>0</v>
      </c>
      <c r="L13" s="8">
        <f t="shared" si="1"/>
        <v>-109</v>
      </c>
      <c r="M13" s="7">
        <f t="shared" si="2"/>
        <v>-1090</v>
      </c>
      <c r="N13" s="3">
        <v>46083</v>
      </c>
      <c r="O13" s="9">
        <v>46089</v>
      </c>
    </row>
    <row r="14" spans="1:15" x14ac:dyDescent="0.2">
      <c r="A14" s="2" t="s">
        <v>47</v>
      </c>
      <c r="B14" s="6" t="s">
        <v>58</v>
      </c>
      <c r="C14" s="2" t="s">
        <v>46</v>
      </c>
      <c r="D14" s="2" t="s">
        <v>8</v>
      </c>
      <c r="E14" s="2" t="s">
        <v>24</v>
      </c>
      <c r="F14" s="2" t="s">
        <v>23</v>
      </c>
      <c r="G14" s="7">
        <v>10</v>
      </c>
      <c r="H14" s="8">
        <v>5</v>
      </c>
      <c r="I14" s="7">
        <v>50</v>
      </c>
      <c r="J14" s="5"/>
      <c r="K14" s="4">
        <f t="shared" si="0"/>
        <v>0</v>
      </c>
      <c r="L14" s="8">
        <f t="shared" si="1"/>
        <v>-5</v>
      </c>
      <c r="M14" s="7">
        <f t="shared" si="2"/>
        <v>-50</v>
      </c>
      <c r="N14" s="3">
        <v>46083</v>
      </c>
      <c r="O14" s="9">
        <v>46089</v>
      </c>
    </row>
    <row r="15" spans="1:15" x14ac:dyDescent="0.2">
      <c r="A15" s="2" t="s">
        <v>47</v>
      </c>
      <c r="B15" s="6" t="s">
        <v>58</v>
      </c>
      <c r="C15" s="2" t="s">
        <v>46</v>
      </c>
      <c r="D15" s="2" t="s">
        <v>8</v>
      </c>
      <c r="E15" s="2" t="s">
        <v>25</v>
      </c>
      <c r="F15" s="2" t="s">
        <v>26</v>
      </c>
      <c r="G15" s="7">
        <v>10</v>
      </c>
      <c r="H15" s="8">
        <v>5</v>
      </c>
      <c r="I15" s="7">
        <v>50</v>
      </c>
      <c r="J15" s="5"/>
      <c r="K15" s="4">
        <f t="shared" si="0"/>
        <v>0</v>
      </c>
      <c r="L15" s="8">
        <f t="shared" si="1"/>
        <v>-5</v>
      </c>
      <c r="M15" s="7">
        <f t="shared" si="2"/>
        <v>-50</v>
      </c>
      <c r="N15" s="3">
        <v>46083</v>
      </c>
      <c r="O15" s="9">
        <v>46089</v>
      </c>
    </row>
    <row r="16" spans="1:15" x14ac:dyDescent="0.2">
      <c r="A16" s="2" t="s">
        <v>47</v>
      </c>
      <c r="B16" s="6" t="s">
        <v>58</v>
      </c>
      <c r="C16" s="2" t="s">
        <v>46</v>
      </c>
      <c r="D16" s="2" t="s">
        <v>8</v>
      </c>
      <c r="E16" s="2" t="s">
        <v>27</v>
      </c>
      <c r="F16" s="2" t="s">
        <v>28</v>
      </c>
      <c r="G16" s="7">
        <v>10</v>
      </c>
      <c r="H16" s="8">
        <v>5</v>
      </c>
      <c r="I16" s="7">
        <v>50</v>
      </c>
      <c r="J16" s="5"/>
      <c r="K16" s="4">
        <f t="shared" si="0"/>
        <v>0</v>
      </c>
      <c r="L16" s="8">
        <f t="shared" si="1"/>
        <v>-5</v>
      </c>
      <c r="M16" s="7">
        <f t="shared" si="2"/>
        <v>-50</v>
      </c>
      <c r="N16" s="3">
        <v>46083</v>
      </c>
      <c r="O16" s="9">
        <v>46089</v>
      </c>
    </row>
    <row r="17" spans="1:15" x14ac:dyDescent="0.2">
      <c r="A17" s="2" t="s">
        <v>47</v>
      </c>
      <c r="B17" s="6" t="s">
        <v>58</v>
      </c>
      <c r="C17" s="2" t="s">
        <v>46</v>
      </c>
      <c r="D17" s="2" t="s">
        <v>8</v>
      </c>
      <c r="E17" s="2" t="s">
        <v>29</v>
      </c>
      <c r="F17" s="2" t="s">
        <v>30</v>
      </c>
      <c r="G17" s="7">
        <v>10</v>
      </c>
      <c r="H17" s="8">
        <v>5</v>
      </c>
      <c r="I17" s="7">
        <v>50</v>
      </c>
      <c r="J17" s="5"/>
      <c r="K17" s="4">
        <f t="shared" si="0"/>
        <v>0</v>
      </c>
      <c r="L17" s="8">
        <f t="shared" si="1"/>
        <v>-5</v>
      </c>
      <c r="M17" s="7">
        <f t="shared" si="2"/>
        <v>-50</v>
      </c>
      <c r="N17" s="3">
        <v>46083</v>
      </c>
      <c r="O17" s="9">
        <v>46089</v>
      </c>
    </row>
    <row r="18" spans="1:15" x14ac:dyDescent="0.2">
      <c r="A18" s="2" t="s">
        <v>47</v>
      </c>
      <c r="B18" s="6" t="s">
        <v>58</v>
      </c>
      <c r="C18" s="2" t="s">
        <v>46</v>
      </c>
      <c r="D18" s="2" t="s">
        <v>8</v>
      </c>
      <c r="E18" s="2" t="s">
        <v>31</v>
      </c>
      <c r="F18" s="2" t="s">
        <v>32</v>
      </c>
      <c r="G18" s="7">
        <v>10</v>
      </c>
      <c r="H18" s="8">
        <v>10</v>
      </c>
      <c r="I18" s="7">
        <v>100</v>
      </c>
      <c r="J18" s="5"/>
      <c r="K18" s="4">
        <f t="shared" si="0"/>
        <v>0</v>
      </c>
      <c r="L18" s="8">
        <f t="shared" si="1"/>
        <v>-10</v>
      </c>
      <c r="M18" s="7">
        <f t="shared" si="2"/>
        <v>-100</v>
      </c>
      <c r="N18" s="3">
        <v>46083</v>
      </c>
      <c r="O18" s="9">
        <v>46089</v>
      </c>
    </row>
    <row r="19" spans="1:15" x14ac:dyDescent="0.2">
      <c r="A19" s="2" t="s">
        <v>47</v>
      </c>
      <c r="B19" s="6" t="s">
        <v>58</v>
      </c>
      <c r="C19" s="2" t="s">
        <v>46</v>
      </c>
      <c r="D19" s="2" t="s">
        <v>8</v>
      </c>
      <c r="E19" s="2" t="s">
        <v>33</v>
      </c>
      <c r="F19" s="2" t="s">
        <v>32</v>
      </c>
      <c r="G19" s="7">
        <v>10</v>
      </c>
      <c r="H19" s="8">
        <v>5</v>
      </c>
      <c r="I19" s="7">
        <v>50</v>
      </c>
      <c r="J19" s="5"/>
      <c r="K19" s="4">
        <f t="shared" si="0"/>
        <v>0</v>
      </c>
      <c r="L19" s="8">
        <f t="shared" si="1"/>
        <v>-5</v>
      </c>
      <c r="M19" s="7">
        <f t="shared" si="2"/>
        <v>-50</v>
      </c>
      <c r="N19" s="3">
        <v>46083</v>
      </c>
      <c r="O19" s="9">
        <v>46089</v>
      </c>
    </row>
    <row r="20" spans="1:15" x14ac:dyDescent="0.2">
      <c r="A20" s="2" t="s">
        <v>47</v>
      </c>
      <c r="B20" s="6" t="s">
        <v>58</v>
      </c>
      <c r="C20" s="2" t="s">
        <v>46</v>
      </c>
      <c r="D20" s="2" t="s">
        <v>8</v>
      </c>
      <c r="E20" s="2" t="s">
        <v>34</v>
      </c>
      <c r="F20" s="2" t="s">
        <v>35</v>
      </c>
      <c r="G20" s="7">
        <v>10</v>
      </c>
      <c r="H20" s="8">
        <v>25</v>
      </c>
      <c r="I20" s="7">
        <v>250</v>
      </c>
      <c r="J20" s="5">
        <v>5</v>
      </c>
      <c r="K20" s="4">
        <f t="shared" si="0"/>
        <v>50</v>
      </c>
      <c r="L20" s="8">
        <f t="shared" si="1"/>
        <v>-20</v>
      </c>
      <c r="M20" s="7">
        <f t="shared" si="2"/>
        <v>-200</v>
      </c>
      <c r="N20" s="3">
        <v>46083</v>
      </c>
      <c r="O20" s="9">
        <v>46089</v>
      </c>
    </row>
    <row r="21" spans="1:15" x14ac:dyDescent="0.2">
      <c r="A21" s="2" t="s">
        <v>47</v>
      </c>
      <c r="B21" s="6" t="s">
        <v>58</v>
      </c>
      <c r="C21" s="2" t="s">
        <v>46</v>
      </c>
      <c r="D21" s="2" t="s">
        <v>8</v>
      </c>
      <c r="E21" s="2" t="s">
        <v>36</v>
      </c>
      <c r="F21" s="2" t="s">
        <v>35</v>
      </c>
      <c r="G21" s="7">
        <v>10</v>
      </c>
      <c r="H21" s="8">
        <v>10</v>
      </c>
      <c r="I21" s="7">
        <v>100</v>
      </c>
      <c r="J21" s="5"/>
      <c r="K21" s="4">
        <f t="shared" si="0"/>
        <v>0</v>
      </c>
      <c r="L21" s="8">
        <f t="shared" si="1"/>
        <v>-10</v>
      </c>
      <c r="M21" s="7">
        <f t="shared" si="2"/>
        <v>-100</v>
      </c>
      <c r="N21" s="3">
        <v>46083</v>
      </c>
      <c r="O21" s="9">
        <v>46089</v>
      </c>
    </row>
    <row r="22" spans="1:15" x14ac:dyDescent="0.2">
      <c r="A22" s="2" t="s">
        <v>47</v>
      </c>
      <c r="B22" s="6" t="s">
        <v>58</v>
      </c>
      <c r="C22" s="2" t="s">
        <v>46</v>
      </c>
      <c r="D22" s="2" t="s">
        <v>8</v>
      </c>
      <c r="E22" s="2" t="s">
        <v>37</v>
      </c>
      <c r="F22" s="2" t="s">
        <v>38</v>
      </c>
      <c r="G22" s="7">
        <v>10</v>
      </c>
      <c r="H22" s="8">
        <v>10</v>
      </c>
      <c r="I22" s="7">
        <v>100</v>
      </c>
      <c r="J22" s="5"/>
      <c r="K22" s="4">
        <f t="shared" si="0"/>
        <v>0</v>
      </c>
      <c r="L22" s="8">
        <f t="shared" si="1"/>
        <v>-10</v>
      </c>
      <c r="M22" s="7">
        <f t="shared" si="2"/>
        <v>-100</v>
      </c>
      <c r="N22" s="3">
        <v>46083</v>
      </c>
      <c r="O22" s="9">
        <v>46089</v>
      </c>
    </row>
    <row r="23" spans="1:15" x14ac:dyDescent="0.2">
      <c r="A23" s="2" t="s">
        <v>47</v>
      </c>
      <c r="B23" s="6" t="s">
        <v>58</v>
      </c>
      <c r="C23" s="2" t="s">
        <v>46</v>
      </c>
      <c r="D23" s="2" t="s">
        <v>8</v>
      </c>
      <c r="E23" s="2" t="s">
        <v>39</v>
      </c>
      <c r="F23" s="2" t="s">
        <v>38</v>
      </c>
      <c r="G23" s="7">
        <v>10</v>
      </c>
      <c r="H23" s="8">
        <v>5</v>
      </c>
      <c r="I23" s="7">
        <v>50</v>
      </c>
      <c r="J23" s="5"/>
      <c r="K23" s="4">
        <f t="shared" si="0"/>
        <v>0</v>
      </c>
      <c r="L23" s="8">
        <f t="shared" si="1"/>
        <v>-5</v>
      </c>
      <c r="M23" s="7">
        <f t="shared" si="2"/>
        <v>-50</v>
      </c>
      <c r="N23" s="3">
        <v>46083</v>
      </c>
      <c r="O23" s="9">
        <v>46089</v>
      </c>
    </row>
    <row r="24" spans="1:15" x14ac:dyDescent="0.2">
      <c r="A24" s="2" t="s">
        <v>47</v>
      </c>
      <c r="B24" s="6" t="s">
        <v>58</v>
      </c>
      <c r="C24" s="2" t="s">
        <v>46</v>
      </c>
      <c r="D24" s="2" t="s">
        <v>8</v>
      </c>
      <c r="E24" s="2" t="s">
        <v>40</v>
      </c>
      <c r="F24" s="2" t="s">
        <v>41</v>
      </c>
      <c r="G24" s="7">
        <v>10</v>
      </c>
      <c r="H24" s="8">
        <v>5</v>
      </c>
      <c r="I24" s="7">
        <v>50</v>
      </c>
      <c r="J24" s="5"/>
      <c r="K24" s="4">
        <f t="shared" si="0"/>
        <v>0</v>
      </c>
      <c r="L24" s="8">
        <f t="shared" si="1"/>
        <v>-5</v>
      </c>
      <c r="M24" s="7">
        <f t="shared" si="2"/>
        <v>-50</v>
      </c>
      <c r="N24" s="3">
        <v>46083</v>
      </c>
      <c r="O24" s="9">
        <v>46089</v>
      </c>
    </row>
    <row r="25" spans="1:15" x14ac:dyDescent="0.2">
      <c r="A25" s="2" t="s">
        <v>47</v>
      </c>
      <c r="B25" s="6" t="s">
        <v>58</v>
      </c>
      <c r="C25" s="2" t="s">
        <v>46</v>
      </c>
      <c r="D25" s="2" t="s">
        <v>8</v>
      </c>
      <c r="E25" s="2" t="s">
        <v>42</v>
      </c>
      <c r="F25" s="2" t="s">
        <v>43</v>
      </c>
      <c r="G25" s="7">
        <v>10</v>
      </c>
      <c r="H25" s="8">
        <v>44</v>
      </c>
      <c r="I25" s="7">
        <v>440</v>
      </c>
      <c r="J25" s="5"/>
      <c r="K25" s="4">
        <f t="shared" si="0"/>
        <v>0</v>
      </c>
      <c r="L25" s="8">
        <f t="shared" si="1"/>
        <v>-44</v>
      </c>
      <c r="M25" s="7">
        <f t="shared" si="2"/>
        <v>-440</v>
      </c>
      <c r="N25" s="3">
        <v>46083</v>
      </c>
      <c r="O25" s="9">
        <v>46089</v>
      </c>
    </row>
    <row r="26" spans="1:15" x14ac:dyDescent="0.2">
      <c r="A26" s="2" t="s">
        <v>47</v>
      </c>
      <c r="B26" s="6" t="s">
        <v>58</v>
      </c>
      <c r="C26" s="2" t="s">
        <v>46</v>
      </c>
      <c r="D26" s="2" t="s">
        <v>8</v>
      </c>
      <c r="E26" s="2" t="s">
        <v>44</v>
      </c>
      <c r="F26" s="2" t="s">
        <v>45</v>
      </c>
      <c r="G26" s="7">
        <v>10</v>
      </c>
      <c r="H26" s="8">
        <v>5</v>
      </c>
      <c r="I26" s="7">
        <v>50</v>
      </c>
      <c r="J26" s="5"/>
      <c r="K26" s="4">
        <f t="shared" si="0"/>
        <v>0</v>
      </c>
      <c r="L26" s="8">
        <f t="shared" si="1"/>
        <v>-5</v>
      </c>
      <c r="M26" s="7">
        <f t="shared" si="2"/>
        <v>-50</v>
      </c>
      <c r="N26" s="3">
        <v>46083</v>
      </c>
      <c r="O26" s="9">
        <v>46089</v>
      </c>
    </row>
    <row r="27" spans="1:15" x14ac:dyDescent="0.2">
      <c r="A27" s="2" t="s">
        <v>50</v>
      </c>
      <c r="B27" s="6" t="s">
        <v>59</v>
      </c>
      <c r="C27" s="2" t="s">
        <v>48</v>
      </c>
      <c r="D27" s="2" t="s">
        <v>8</v>
      </c>
      <c r="E27" s="2" t="s">
        <v>10</v>
      </c>
      <c r="F27" s="2" t="s">
        <v>10</v>
      </c>
      <c r="G27" s="7">
        <v>5</v>
      </c>
      <c r="H27" s="8">
        <v>2228</v>
      </c>
      <c r="I27" s="7">
        <v>11140</v>
      </c>
      <c r="J27" s="5"/>
      <c r="K27" s="4">
        <f t="shared" ref="K27" si="3">J27*G27</f>
        <v>0</v>
      </c>
      <c r="L27" s="8">
        <f t="shared" ref="L27" si="4">J27-H27</f>
        <v>-2228</v>
      </c>
      <c r="M27" s="7">
        <f t="shared" ref="M27:M29" si="5">K27-I27</f>
        <v>-11140</v>
      </c>
      <c r="N27" s="3">
        <v>46083</v>
      </c>
      <c r="O27" s="9">
        <v>46089</v>
      </c>
    </row>
    <row r="28" spans="1:15" x14ac:dyDescent="0.2">
      <c r="A28" s="2" t="s">
        <v>50</v>
      </c>
      <c r="B28" s="6" t="s">
        <v>59</v>
      </c>
      <c r="C28" s="2" t="s">
        <v>48</v>
      </c>
      <c r="D28" s="2" t="s">
        <v>8</v>
      </c>
      <c r="E28" s="2" t="s">
        <v>12</v>
      </c>
      <c r="F28" s="2" t="s">
        <v>12</v>
      </c>
      <c r="G28" s="7">
        <v>5</v>
      </c>
      <c r="H28" s="8">
        <v>1829</v>
      </c>
      <c r="I28" s="7">
        <v>9145</v>
      </c>
      <c r="J28" s="5"/>
      <c r="K28" s="4">
        <f t="shared" ref="K28:K29" si="6">J28*G28</f>
        <v>0</v>
      </c>
      <c r="L28" s="8">
        <f t="shared" ref="L28:L29" si="7">J28-H28</f>
        <v>-1829</v>
      </c>
      <c r="M28" s="7">
        <f t="shared" si="5"/>
        <v>-9145</v>
      </c>
      <c r="N28" s="3">
        <v>46083</v>
      </c>
      <c r="O28" s="9">
        <v>46089</v>
      </c>
    </row>
    <row r="29" spans="1:15" x14ac:dyDescent="0.2">
      <c r="A29" s="2" t="s">
        <v>50</v>
      </c>
      <c r="B29" s="6" t="s">
        <v>59</v>
      </c>
      <c r="C29" s="2" t="s">
        <v>48</v>
      </c>
      <c r="D29" s="2" t="s">
        <v>8</v>
      </c>
      <c r="E29" s="2" t="s">
        <v>49</v>
      </c>
      <c r="F29" s="2" t="s">
        <v>49</v>
      </c>
      <c r="G29" s="7">
        <v>5</v>
      </c>
      <c r="H29" s="8">
        <v>5365</v>
      </c>
      <c r="I29" s="7">
        <v>26825</v>
      </c>
      <c r="J29" s="5">
        <v>200</v>
      </c>
      <c r="K29" s="4">
        <f t="shared" si="6"/>
        <v>1000</v>
      </c>
      <c r="L29" s="8">
        <f t="shared" si="7"/>
        <v>-5165</v>
      </c>
      <c r="M29" s="7">
        <f t="shared" si="5"/>
        <v>-25825</v>
      </c>
      <c r="N29" s="3">
        <v>46083</v>
      </c>
      <c r="O29" s="9">
        <v>46089</v>
      </c>
    </row>
  </sheetData>
  <autoFilter ref="A1:O29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2026-03-05T17:00:50Z</dcterms:created>
  <dcterms:modified xsi:type="dcterms:W3CDTF">2026-03-05T23:03:54Z</dcterms:modified>
  <cp:category/>
</cp:coreProperties>
</file>