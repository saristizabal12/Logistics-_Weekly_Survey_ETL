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input_yes\"/>
    </mc:Choice>
  </mc:AlternateContent>
  <xr:revisionPtr revIDLastSave="0" documentId="13_ncr:1_{B58A654F-17DB-4166-AAC7-E59E81CD50C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ending to samsung" sheetId="14" r:id="rId1"/>
  </sheets>
  <definedNames>
    <definedName name="_xlnm._FilterDatabase" localSheetId="0" hidden="1">'sending to samsung'!$A$1:$N$47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4" l="1"/>
  <c r="J43" i="14"/>
  <c r="K43" i="14" s="1"/>
  <c r="L43" i="14"/>
  <c r="M43" i="14" s="1"/>
  <c r="N43" i="14" s="1"/>
  <c r="G49" i="14"/>
  <c r="G48" i="14"/>
  <c r="G47" i="14"/>
  <c r="G46" i="14"/>
  <c r="G45" i="14"/>
  <c r="G44" i="14"/>
  <c r="G42" i="14"/>
  <c r="G41" i="14"/>
  <c r="G40" i="14"/>
  <c r="G39" i="14"/>
  <c r="G38" i="14"/>
  <c r="G37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J36" i="14"/>
  <c r="L36" i="14" s="1"/>
  <c r="J35" i="14"/>
  <c r="L35" i="14" s="1"/>
  <c r="J34" i="14"/>
  <c r="L34" i="14" s="1"/>
  <c r="G36" i="14"/>
  <c r="G35" i="14"/>
  <c r="G34" i="14"/>
  <c r="J33" i="14"/>
  <c r="L33" i="14" s="1"/>
  <c r="J32" i="14"/>
  <c r="L32" i="14" s="1"/>
  <c r="J31" i="14"/>
  <c r="L31" i="14" s="1"/>
  <c r="J30" i="14"/>
  <c r="K30" i="14" s="1"/>
  <c r="J29" i="14"/>
  <c r="L29" i="14" s="1"/>
  <c r="J28" i="14"/>
  <c r="L28" i="14" s="1"/>
  <c r="J27" i="14"/>
  <c r="L27" i="14" s="1"/>
  <c r="M27" i="14" s="1"/>
  <c r="N27" i="14" s="1"/>
  <c r="J26" i="14"/>
  <c r="L26" i="14" s="1"/>
  <c r="J25" i="14"/>
  <c r="L25" i="14" s="1"/>
  <c r="J24" i="14"/>
  <c r="L24" i="14" s="1"/>
  <c r="J23" i="14"/>
  <c r="L23" i="14" s="1"/>
  <c r="J22" i="14"/>
  <c r="L22" i="14" s="1"/>
  <c r="J21" i="14"/>
  <c r="L21" i="14" s="1"/>
  <c r="J20" i="14"/>
  <c r="K20" i="14" s="1"/>
  <c r="J19" i="14"/>
  <c r="L19" i="14" s="1"/>
  <c r="J18" i="14"/>
  <c r="K18" i="14" s="1"/>
  <c r="J17" i="14"/>
  <c r="L17" i="14" s="1"/>
  <c r="J16" i="14"/>
  <c r="L16" i="14" s="1"/>
  <c r="J15" i="14"/>
  <c r="L15" i="14" s="1"/>
  <c r="M15" i="14" s="1"/>
  <c r="N15" i="14" s="1"/>
  <c r="J14" i="14"/>
  <c r="L14" i="14" s="1"/>
  <c r="M14" i="14" s="1"/>
  <c r="N14" i="14" s="1"/>
  <c r="J13" i="14"/>
  <c r="L13" i="14" s="1"/>
  <c r="J12" i="14"/>
  <c r="K12" i="14" s="1"/>
  <c r="J11" i="14"/>
  <c r="L11" i="14" s="1"/>
  <c r="J10" i="14"/>
  <c r="K10" i="14" s="1"/>
  <c r="J9" i="14"/>
  <c r="L9" i="14" s="1"/>
  <c r="J8" i="14"/>
  <c r="L8" i="14" s="1"/>
  <c r="J7" i="14"/>
  <c r="L7" i="14" s="1"/>
  <c r="J6" i="14"/>
  <c r="L6" i="14" s="1"/>
  <c r="J5" i="14"/>
  <c r="L5" i="14" s="1"/>
  <c r="J4" i="14"/>
  <c r="L4" i="14" s="1"/>
  <c r="J3" i="14"/>
  <c r="L3" i="14" s="1"/>
  <c r="M3" i="14" s="1"/>
  <c r="N3" i="14" s="1"/>
  <c r="J2" i="14"/>
  <c r="K2" i="14" s="1"/>
  <c r="J49" i="14"/>
  <c r="L49" i="14" s="1"/>
  <c r="J48" i="14"/>
  <c r="K48" i="14" s="1"/>
  <c r="M16" i="14" l="1"/>
  <c r="N16" i="14" s="1"/>
  <c r="M5" i="14"/>
  <c r="N5" i="14" s="1"/>
  <c r="M9" i="14"/>
  <c r="N9" i="14" s="1"/>
  <c r="M21" i="14"/>
  <c r="N21" i="14" s="1"/>
  <c r="M6" i="14"/>
  <c r="N6" i="14" s="1"/>
  <c r="M11" i="14"/>
  <c r="N11" i="14" s="1"/>
  <c r="M23" i="14"/>
  <c r="N23" i="14" s="1"/>
  <c r="M4" i="14"/>
  <c r="N4" i="14" s="1"/>
  <c r="M17" i="14"/>
  <c r="N17" i="14" s="1"/>
  <c r="M29" i="14"/>
  <c r="N29" i="14" s="1"/>
  <c r="M7" i="14"/>
  <c r="N7" i="14" s="1"/>
  <c r="M8" i="14"/>
  <c r="N8" i="14" s="1"/>
  <c r="M22" i="14"/>
  <c r="N22" i="14" s="1"/>
  <c r="M24" i="14"/>
  <c r="N24" i="14" s="1"/>
  <c r="M19" i="14"/>
  <c r="N19" i="14" s="1"/>
  <c r="M28" i="14"/>
  <c r="N28" i="14" s="1"/>
  <c r="M13" i="14"/>
  <c r="N13" i="14" s="1"/>
  <c r="M25" i="14"/>
  <c r="N25" i="14" s="1"/>
  <c r="M26" i="14"/>
  <c r="N26" i="14" s="1"/>
  <c r="M34" i="14"/>
  <c r="N34" i="14" s="1"/>
  <c r="M35" i="14"/>
  <c r="N35" i="14" s="1"/>
  <c r="M36" i="14"/>
  <c r="N36" i="14" s="1"/>
  <c r="K36" i="14"/>
  <c r="K35" i="14"/>
  <c r="K34" i="14"/>
  <c r="M31" i="14"/>
  <c r="N31" i="14" s="1"/>
  <c r="M32" i="14"/>
  <c r="N32" i="14" s="1"/>
  <c r="M33" i="14"/>
  <c r="N33" i="14" s="1"/>
  <c r="K14" i="14"/>
  <c r="K32" i="14"/>
  <c r="K4" i="14"/>
  <c r="K24" i="14"/>
  <c r="L18" i="14"/>
  <c r="M18" i="14" s="1"/>
  <c r="N18" i="14" s="1"/>
  <c r="K28" i="14"/>
  <c r="L2" i="14"/>
  <c r="M2" i="14" s="1"/>
  <c r="N2" i="14" s="1"/>
  <c r="L12" i="14"/>
  <c r="M12" i="14" s="1"/>
  <c r="N12" i="14" s="1"/>
  <c r="L20" i="14"/>
  <c r="M20" i="14" s="1"/>
  <c r="N20" i="14" s="1"/>
  <c r="K8" i="14"/>
  <c r="K26" i="14"/>
  <c r="L10" i="14"/>
  <c r="M10" i="14" s="1"/>
  <c r="N10" i="14" s="1"/>
  <c r="K16" i="14"/>
  <c r="L30" i="14"/>
  <c r="M30" i="14" s="1"/>
  <c r="N30" i="14" s="1"/>
  <c r="K5" i="14"/>
  <c r="K9" i="14"/>
  <c r="K13" i="14"/>
  <c r="K17" i="14"/>
  <c r="K21" i="14"/>
  <c r="K25" i="14"/>
  <c r="K33" i="14"/>
  <c r="K3" i="14"/>
  <c r="K7" i="14"/>
  <c r="K11" i="14"/>
  <c r="K15" i="14"/>
  <c r="K19" i="14"/>
  <c r="K23" i="14"/>
  <c r="K27" i="14"/>
  <c r="K29" i="14"/>
  <c r="K31" i="14"/>
  <c r="K6" i="14"/>
  <c r="K22" i="14"/>
  <c r="M49" i="14"/>
  <c r="N49" i="14" s="1"/>
  <c r="K49" i="14"/>
  <c r="L48" i="14"/>
  <c r="M48" i="14" s="1"/>
  <c r="N48" i="14" s="1"/>
  <c r="J47" i="14" l="1"/>
  <c r="L47" i="14" s="1"/>
  <c r="J46" i="14"/>
  <c r="L46" i="14" s="1"/>
  <c r="J45" i="14"/>
  <c r="K45" i="14" s="1"/>
  <c r="J44" i="14"/>
  <c r="L44" i="14" s="1"/>
  <c r="J42" i="14"/>
  <c r="L42" i="14" s="1"/>
  <c r="J41" i="14"/>
  <c r="L41" i="14" s="1"/>
  <c r="J40" i="14"/>
  <c r="L40" i="14" s="1"/>
  <c r="J39" i="14"/>
  <c r="L39" i="14" s="1"/>
  <c r="J38" i="14"/>
  <c r="L38" i="14" s="1"/>
  <c r="J37" i="14"/>
  <c r="L37" i="14" s="1"/>
  <c r="M37" i="14" l="1"/>
  <c r="N37" i="14" s="1"/>
  <c r="M38" i="14"/>
  <c r="N38" i="14" s="1"/>
  <c r="M42" i="14"/>
  <c r="N42" i="14" s="1"/>
  <c r="M47" i="14"/>
  <c r="N47" i="14" s="1"/>
  <c r="M41" i="14"/>
  <c r="N41" i="14" s="1"/>
  <c r="M46" i="14"/>
  <c r="N46" i="14" s="1"/>
  <c r="M39" i="14"/>
  <c r="N39" i="14" s="1"/>
  <c r="M40" i="14"/>
  <c r="N40" i="14" s="1"/>
  <c r="M44" i="14"/>
  <c r="N44" i="14" s="1"/>
  <c r="K37" i="14"/>
  <c r="K39" i="14"/>
  <c r="K41" i="14"/>
  <c r="K44" i="14"/>
  <c r="K46" i="14"/>
  <c r="K40" i="14"/>
  <c r="K38" i="14"/>
  <c r="K42" i="14"/>
  <c r="K47" i="14"/>
  <c r="L45" i="14"/>
  <c r="M45" i="14" s="1"/>
  <c r="N45" i="14" s="1"/>
</calcChain>
</file>

<file path=xl/sharedStrings.xml><?xml version="1.0" encoding="utf-8"?>
<sst xmlns="http://schemas.openxmlformats.org/spreadsheetml/2006/main" count="207" uniqueCount="71">
  <si>
    <t>Incentive</t>
  </si>
  <si>
    <t>AS-IS Qty</t>
  </si>
  <si>
    <t>AS-IS Amount</t>
  </si>
  <si>
    <t>Shipping</t>
  </si>
  <si>
    <t>Total</t>
  </si>
  <si>
    <t>Difference</t>
  </si>
  <si>
    <t>Amount difference</t>
  </si>
  <si>
    <t>FINAL</t>
  </si>
  <si>
    <t>Name</t>
  </si>
  <si>
    <t>Quantity</t>
  </si>
  <si>
    <t>Model Friendly Name</t>
  </si>
  <si>
    <t>Condition TeSM Xt</t>
  </si>
  <si>
    <t>Product TeSM Xt</t>
  </si>
  <si>
    <t>0418</t>
  </si>
  <si>
    <t>FLIP7</t>
  </si>
  <si>
    <t>FOLD7</t>
  </si>
  <si>
    <t>A37</t>
  </si>
  <si>
    <t>A57</t>
  </si>
  <si>
    <t>S25 ULTRA</t>
  </si>
  <si>
    <t>S25 FE</t>
  </si>
  <si>
    <t>A07</t>
  </si>
  <si>
    <t>A17</t>
  </si>
  <si>
    <t>A11</t>
  </si>
  <si>
    <t>WATCH8</t>
  </si>
  <si>
    <t>WATCH8 CLASSIC</t>
  </si>
  <si>
    <t>SM S942BLBKGTO</t>
  </si>
  <si>
    <t>SM S942BLBUGTO</t>
  </si>
  <si>
    <t>SM S942BZKKGTO</t>
  </si>
  <si>
    <t>SM S942BZKUGTO</t>
  </si>
  <si>
    <t>SM S942BZVKGTO</t>
  </si>
  <si>
    <t>SM S942BZVUGTO</t>
  </si>
  <si>
    <t>SM S942BZWKGTO</t>
  </si>
  <si>
    <t>SM S942BZWUGTO</t>
  </si>
  <si>
    <t>SM S947BLBJGTO</t>
  </si>
  <si>
    <t>SM S947BLBKGTO</t>
  </si>
  <si>
    <t>SM S947BZKJGTO</t>
  </si>
  <si>
    <t>SM S947BZKKGTO</t>
  </si>
  <si>
    <t>SM S947BZKLGTO</t>
  </si>
  <si>
    <t>SM S947BZVJGTO</t>
  </si>
  <si>
    <t>SM S947BZVKGTO</t>
  </si>
  <si>
    <t>SM S947BZWJGTO</t>
  </si>
  <si>
    <t>SM S947BZWKGTO</t>
  </si>
  <si>
    <t>SM S948BLBJGTO</t>
  </si>
  <si>
    <t>SM S948BLBKGTO</t>
  </si>
  <si>
    <t>SM S948BLBUGTO</t>
  </si>
  <si>
    <t>SM S948BZKJGTO</t>
  </si>
  <si>
    <t>SM S948BZKKGTO</t>
  </si>
  <si>
    <t>SM S948BZKUGTO</t>
  </si>
  <si>
    <t>SM S948BZVJGTO</t>
  </si>
  <si>
    <t>SM S948BZVKGTO</t>
  </si>
  <si>
    <t>SM S948BZVUGTO</t>
  </si>
  <si>
    <t>SM S948BZWJGTO</t>
  </si>
  <si>
    <t>SM S948BZWKGTO</t>
  </si>
  <si>
    <t>SM S948BZWUGTO</t>
  </si>
  <si>
    <t>FLIP7 FE</t>
  </si>
  <si>
    <t>A0S3A0A260000605</t>
  </si>
  <si>
    <t>VITEL W19-W20 Venezuela</t>
  </si>
  <si>
    <t>A0S3A0A260000633</t>
  </si>
  <si>
    <t>A0S3A0A260000669</t>
  </si>
  <si>
    <t>A0S3A0A260000665</t>
  </si>
  <si>
    <t>A0S3A0A260000642</t>
  </si>
  <si>
    <t>VITEL W20-W22 (FLIP)</t>
  </si>
  <si>
    <t>A0S3A0A260000690</t>
  </si>
  <si>
    <t>VITEL W21-23 A17 / A07 Sell-Thru Promo</t>
  </si>
  <si>
    <t>VITEL W21-W23 (ECO)</t>
  </si>
  <si>
    <t>A0S3A0A260000699</t>
  </si>
  <si>
    <t>A0S3A0A260000715</t>
  </si>
  <si>
    <t>VITEL W21-W23 (AR)</t>
  </si>
  <si>
    <t>VITEL W20-W21 (S26+/S26)</t>
  </si>
  <si>
    <t>VITEL W20-W21 (S26 ULTRA)</t>
  </si>
  <si>
    <t>VITEL W20-W21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</si>
</sst>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1" fontId="3" fillId="3" borderId="1" xfId="0" applyNumberFormat="1" applyFont="1" applyFill="1" applyBorder="1"/>
    <xf numFmtId="0" fontId="2" fillId="0" borderId="1" xfId="0" applyFont="1" applyBorder="1"/>
    <xf numFmtId="3" fontId="0" fillId="4" borderId="1" xfId="0" applyNumberFormat="1" applyFill="1" applyBorder="1"/>
    <xf numFmtId="0" fontId="2" fillId="7" borderId="1" xfId="0" applyFont="1" applyFill="1" applyBorder="1"/>
    <xf numFmtId="0" fontId="2" fillId="8" borderId="1" xfId="0" applyFont="1" applyFill="1" applyBorder="1"/>
    <xf numFmtId="8" fontId="0" fillId="4" borderId="2" xfId="0" applyNumberFormat="1" applyFill="1" applyBorder="1"/>
    <xf numFmtId="0" fontId="2" fillId="9" borderId="1" xfId="0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R49"/>
  <sheetViews>
    <sheetView showGridLines="0" tabSelected="1" zoomScale="85" zoomScaleNormal="85" workbookViewId="0">
      <pane ySplit="1" topLeftCell="A2" activePane="bottomLeft" state="frozen"/>
      <selection pane="bottomLeft" activeCell="A32" sqref="A3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3" width="18.28515625" bestFit="1" customWidth="1"/>
    <col min="4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8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</cols>
  <sheetData>
    <row r="1" spans="1:18" ht="18" customHeight="1" x14ac:dyDescent="0.2">
      <c r="A1" s="1" t="s">
        <v>8</v>
      </c>
      <c r="B1" s="1" t="s">
        <v>11</v>
      </c>
      <c r="C1" s="1" t="s">
        <v>10</v>
      </c>
      <c r="D1" s="1" t="s">
        <v>12</v>
      </c>
      <c r="E1" s="1" t="s">
        <v>0</v>
      </c>
      <c r="F1" s="7" t="s">
        <v>1</v>
      </c>
      <c r="G1" s="1" t="s">
        <v>2</v>
      </c>
      <c r="H1" s="7" t="s">
        <v>9</v>
      </c>
      <c r="I1" s="1" t="s">
        <v>3</v>
      </c>
      <c r="J1" s="1" t="s">
        <v>4</v>
      </c>
      <c r="K1" s="1" t="s">
        <v>5</v>
      </c>
      <c r="L1" s="1" t="s">
        <v>2</v>
      </c>
      <c r="M1" s="1" t="s">
        <v>6</v>
      </c>
      <c r="N1" s="5" t="s">
        <v>7</v>
      </c>
      <c r="R1" s="11" t="s">
        <v>13</v>
      </c>
    </row>
    <row r="2" spans="1:18" ht="18" customHeight="1" x14ac:dyDescent="0.2">
      <c r="A2" s="15" t="s">
        <v>60</v>
      </c>
      <c r="B2" s="15" t="s">
        <v>68</v>
      </c>
      <c r="C2" s="13" t="s">
        <v>25</v>
      </c>
      <c r="D2" s="13" t="s">
        <v>25</v>
      </c>
      <c r="E2" s="2">
        <v>50</v>
      </c>
      <c r="F2" s="14">
        <v>136</v>
      </c>
      <c r="G2" s="2">
        <f t="shared" ref="G2:G19" si="0">E2*F2</f>
        <v>6800</v>
      </c>
      <c r="H2" s="3"/>
      <c r="I2" s="3"/>
      <c r="J2" s="10">
        <f t="shared" ref="J2:J27" si="1">H2+I2</f>
        <v>0</v>
      </c>
      <c r="K2" s="3">
        <f t="shared" ref="K2:K27" si="2">F2-J2</f>
        <v>136</v>
      </c>
      <c r="L2" s="4">
        <f t="shared" ref="L2:L33" si="3">J2*E2</f>
        <v>0</v>
      </c>
      <c r="M2" s="4">
        <f t="shared" ref="M2:M33" si="4">G2-L2</f>
        <v>6800</v>
      </c>
      <c r="N2" s="9" t="str">
        <f t="shared" ref="N2:N33" si="5">IF(M2&gt;0,"KEEP SELLING", "DO NOT SELL")</f>
        <v>KEEP SELLING</v>
      </c>
    </row>
    <row r="3" spans="1:18" ht="18" customHeight="1" x14ac:dyDescent="0.2">
      <c r="A3" s="15" t="s">
        <v>60</v>
      </c>
      <c r="B3" s="15" t="s">
        <v>68</v>
      </c>
      <c r="C3" s="13" t="s">
        <v>26</v>
      </c>
      <c r="D3" s="13" t="s">
        <v>26</v>
      </c>
      <c r="E3" s="2">
        <v>80</v>
      </c>
      <c r="F3" s="14">
        <v>61</v>
      </c>
      <c r="G3" s="2">
        <f t="shared" si="0"/>
        <v>4880</v>
      </c>
      <c r="H3" s="3"/>
      <c r="I3" s="3"/>
      <c r="J3" s="10">
        <f t="shared" si="1"/>
        <v>0</v>
      </c>
      <c r="K3" s="3">
        <f t="shared" si="2"/>
        <v>61</v>
      </c>
      <c r="L3" s="4">
        <f t="shared" si="3"/>
        <v>0</v>
      </c>
      <c r="M3" s="4">
        <f t="shared" si="4"/>
        <v>4880</v>
      </c>
      <c r="N3" s="9" t="str">
        <f t="shared" si="5"/>
        <v>KEEP SELLING</v>
      </c>
    </row>
    <row r="4" spans="1:18" ht="18" customHeight="1" x14ac:dyDescent="0.2">
      <c r="A4" s="15" t="s">
        <v>60</v>
      </c>
      <c r="B4" s="15" t="s">
        <v>68</v>
      </c>
      <c r="C4" s="13" t="s">
        <v>27</v>
      </c>
      <c r="D4" s="13" t="s">
        <v>27</v>
      </c>
      <c r="E4" s="2">
        <v>50</v>
      </c>
      <c r="F4" s="14">
        <v>136</v>
      </c>
      <c r="G4" s="2">
        <f t="shared" si="0"/>
        <v>6800</v>
      </c>
      <c r="H4" s="3"/>
      <c r="I4" s="3"/>
      <c r="J4" s="10">
        <f t="shared" si="1"/>
        <v>0</v>
      </c>
      <c r="K4" s="3">
        <f t="shared" si="2"/>
        <v>136</v>
      </c>
      <c r="L4" s="4">
        <f t="shared" si="3"/>
        <v>0</v>
      </c>
      <c r="M4" s="4">
        <f t="shared" si="4"/>
        <v>6800</v>
      </c>
      <c r="N4" s="9" t="str">
        <f t="shared" si="5"/>
        <v>KEEP SELLING</v>
      </c>
    </row>
    <row r="5" spans="1:18" ht="18" customHeight="1" x14ac:dyDescent="0.2">
      <c r="A5" s="15" t="s">
        <v>60</v>
      </c>
      <c r="B5" s="15" t="s">
        <v>68</v>
      </c>
      <c r="C5" s="13" t="s">
        <v>28</v>
      </c>
      <c r="D5" s="13" t="s">
        <v>28</v>
      </c>
      <c r="E5" s="2">
        <v>80</v>
      </c>
      <c r="F5" s="14">
        <v>46</v>
      </c>
      <c r="G5" s="2">
        <f t="shared" si="0"/>
        <v>3680</v>
      </c>
      <c r="H5" s="3"/>
      <c r="I5" s="3"/>
      <c r="J5" s="10">
        <f t="shared" si="1"/>
        <v>0</v>
      </c>
      <c r="K5" s="3">
        <f t="shared" si="2"/>
        <v>46</v>
      </c>
      <c r="L5" s="4">
        <f t="shared" si="3"/>
        <v>0</v>
      </c>
      <c r="M5" s="4">
        <f t="shared" si="4"/>
        <v>3680</v>
      </c>
      <c r="N5" s="9" t="str">
        <f t="shared" si="5"/>
        <v>KEEP SELLING</v>
      </c>
    </row>
    <row r="6" spans="1:18" ht="18" customHeight="1" x14ac:dyDescent="0.2">
      <c r="A6" s="15" t="s">
        <v>60</v>
      </c>
      <c r="B6" s="15" t="s">
        <v>68</v>
      </c>
      <c r="C6" s="13" t="s">
        <v>29</v>
      </c>
      <c r="D6" s="13" t="s">
        <v>29</v>
      </c>
      <c r="E6" s="2">
        <v>50</v>
      </c>
      <c r="F6" s="14">
        <v>136</v>
      </c>
      <c r="G6" s="2">
        <f t="shared" si="0"/>
        <v>6800</v>
      </c>
      <c r="H6" s="3"/>
      <c r="I6" s="3"/>
      <c r="J6" s="10">
        <f t="shared" si="1"/>
        <v>0</v>
      </c>
      <c r="K6" s="3">
        <f t="shared" si="2"/>
        <v>136</v>
      </c>
      <c r="L6" s="4">
        <f t="shared" si="3"/>
        <v>0</v>
      </c>
      <c r="M6" s="4">
        <f t="shared" si="4"/>
        <v>6800</v>
      </c>
      <c r="N6" s="9" t="str">
        <f t="shared" si="5"/>
        <v>KEEP SELLING</v>
      </c>
    </row>
    <row r="7" spans="1:18" ht="18" customHeight="1" x14ac:dyDescent="0.2">
      <c r="A7" s="15" t="s">
        <v>60</v>
      </c>
      <c r="B7" s="15" t="s">
        <v>68</v>
      </c>
      <c r="C7" s="13" t="s">
        <v>30</v>
      </c>
      <c r="D7" s="13" t="s">
        <v>30</v>
      </c>
      <c r="E7" s="2">
        <v>80</v>
      </c>
      <c r="F7" s="14">
        <v>50</v>
      </c>
      <c r="G7" s="2">
        <f t="shared" si="0"/>
        <v>4000</v>
      </c>
      <c r="H7" s="3"/>
      <c r="I7" s="3"/>
      <c r="J7" s="10">
        <f t="shared" si="1"/>
        <v>0</v>
      </c>
      <c r="K7" s="3">
        <f t="shared" si="2"/>
        <v>50</v>
      </c>
      <c r="L7" s="4">
        <f t="shared" si="3"/>
        <v>0</v>
      </c>
      <c r="M7" s="4">
        <f t="shared" si="4"/>
        <v>4000</v>
      </c>
      <c r="N7" s="9" t="str">
        <f t="shared" si="5"/>
        <v>KEEP SELLING</v>
      </c>
    </row>
    <row r="8" spans="1:18" ht="18" customHeight="1" x14ac:dyDescent="0.2">
      <c r="A8" s="15" t="s">
        <v>60</v>
      </c>
      <c r="B8" s="15" t="s">
        <v>68</v>
      </c>
      <c r="C8" s="13" t="s">
        <v>31</v>
      </c>
      <c r="D8" s="13" t="s">
        <v>31</v>
      </c>
      <c r="E8" s="2">
        <v>50</v>
      </c>
      <c r="F8" s="14">
        <v>137</v>
      </c>
      <c r="G8" s="2">
        <f t="shared" si="0"/>
        <v>6850</v>
      </c>
      <c r="H8" s="3"/>
      <c r="I8" s="3"/>
      <c r="J8" s="10">
        <f t="shared" si="1"/>
        <v>0</v>
      </c>
      <c r="K8" s="3">
        <f t="shared" si="2"/>
        <v>137</v>
      </c>
      <c r="L8" s="4">
        <f t="shared" si="3"/>
        <v>0</v>
      </c>
      <c r="M8" s="4">
        <f t="shared" si="4"/>
        <v>6850</v>
      </c>
      <c r="N8" s="9" t="str">
        <f t="shared" si="5"/>
        <v>KEEP SELLING</v>
      </c>
    </row>
    <row r="9" spans="1:18" ht="18" customHeight="1" x14ac:dyDescent="0.2">
      <c r="A9" s="15" t="s">
        <v>60</v>
      </c>
      <c r="B9" s="15" t="s">
        <v>68</v>
      </c>
      <c r="C9" s="13" t="s">
        <v>32</v>
      </c>
      <c r="D9" s="13" t="s">
        <v>32</v>
      </c>
      <c r="E9" s="2">
        <v>80</v>
      </c>
      <c r="F9" s="14">
        <v>46</v>
      </c>
      <c r="G9" s="2">
        <f t="shared" si="0"/>
        <v>3680</v>
      </c>
      <c r="H9" s="3"/>
      <c r="I9" s="3"/>
      <c r="J9" s="10">
        <f t="shared" si="1"/>
        <v>0</v>
      </c>
      <c r="K9" s="3">
        <f t="shared" si="2"/>
        <v>46</v>
      </c>
      <c r="L9" s="4">
        <f t="shared" si="3"/>
        <v>0</v>
      </c>
      <c r="M9" s="4">
        <f t="shared" si="4"/>
        <v>3680</v>
      </c>
      <c r="N9" s="9" t="str">
        <f t="shared" si="5"/>
        <v>KEEP SELLING</v>
      </c>
    </row>
    <row r="10" spans="1:18" ht="18" customHeight="1" x14ac:dyDescent="0.2">
      <c r="A10" s="15" t="s">
        <v>60</v>
      </c>
      <c r="B10" s="15" t="s">
        <v>68</v>
      </c>
      <c r="C10" s="13" t="s">
        <v>33</v>
      </c>
      <c r="D10" s="13" t="s">
        <v>33</v>
      </c>
      <c r="E10" s="2">
        <v>50</v>
      </c>
      <c r="F10" s="14">
        <v>1</v>
      </c>
      <c r="G10" s="2">
        <f t="shared" si="0"/>
        <v>50</v>
      </c>
      <c r="H10" s="3"/>
      <c r="I10" s="3"/>
      <c r="J10" s="10">
        <f t="shared" si="1"/>
        <v>0</v>
      </c>
      <c r="K10" s="3">
        <f t="shared" si="2"/>
        <v>1</v>
      </c>
      <c r="L10" s="4">
        <f t="shared" si="3"/>
        <v>0</v>
      </c>
      <c r="M10" s="4">
        <f t="shared" si="4"/>
        <v>50</v>
      </c>
      <c r="N10" s="9" t="str">
        <f t="shared" si="5"/>
        <v>KEEP SELLING</v>
      </c>
    </row>
    <row r="11" spans="1:18" ht="18" customHeight="1" x14ac:dyDescent="0.2">
      <c r="A11" s="15" t="s">
        <v>60</v>
      </c>
      <c r="B11" s="15" t="s">
        <v>68</v>
      </c>
      <c r="C11" s="13" t="s">
        <v>34</v>
      </c>
      <c r="D11" s="13" t="s">
        <v>34</v>
      </c>
      <c r="E11" s="2">
        <v>80</v>
      </c>
      <c r="F11" s="14">
        <v>39</v>
      </c>
      <c r="G11" s="2">
        <f t="shared" si="0"/>
        <v>3120</v>
      </c>
      <c r="H11" s="3"/>
      <c r="I11" s="3"/>
      <c r="J11" s="10">
        <f t="shared" si="1"/>
        <v>0</v>
      </c>
      <c r="K11" s="3">
        <f t="shared" si="2"/>
        <v>39</v>
      </c>
      <c r="L11" s="4">
        <f t="shared" si="3"/>
        <v>0</v>
      </c>
      <c r="M11" s="4">
        <f t="shared" si="4"/>
        <v>3120</v>
      </c>
      <c r="N11" s="9" t="str">
        <f t="shared" si="5"/>
        <v>KEEP SELLING</v>
      </c>
    </row>
    <row r="12" spans="1:18" ht="18" customHeight="1" x14ac:dyDescent="0.2">
      <c r="A12" s="15" t="s">
        <v>60</v>
      </c>
      <c r="B12" s="15" t="s">
        <v>68</v>
      </c>
      <c r="C12" s="13" t="s">
        <v>35</v>
      </c>
      <c r="D12" s="13" t="s">
        <v>35</v>
      </c>
      <c r="E12" s="2">
        <v>50</v>
      </c>
      <c r="F12" s="14">
        <v>83</v>
      </c>
      <c r="G12" s="2">
        <f t="shared" si="0"/>
        <v>4150</v>
      </c>
      <c r="H12" s="3"/>
      <c r="I12" s="3"/>
      <c r="J12" s="10">
        <f t="shared" si="1"/>
        <v>0</v>
      </c>
      <c r="K12" s="3">
        <f t="shared" si="2"/>
        <v>83</v>
      </c>
      <c r="L12" s="4">
        <f t="shared" si="3"/>
        <v>0</v>
      </c>
      <c r="M12" s="4">
        <f t="shared" si="4"/>
        <v>4150</v>
      </c>
      <c r="N12" s="9" t="str">
        <f t="shared" si="5"/>
        <v>KEEP SELLING</v>
      </c>
    </row>
    <row r="13" spans="1:18" ht="18" customHeight="1" x14ac:dyDescent="0.2">
      <c r="A13" s="15" t="s">
        <v>60</v>
      </c>
      <c r="B13" s="15" t="s">
        <v>68</v>
      </c>
      <c r="C13" s="13" t="s">
        <v>36</v>
      </c>
      <c r="D13" s="13" t="s">
        <v>36</v>
      </c>
      <c r="E13" s="2">
        <v>80</v>
      </c>
      <c r="F13" s="14">
        <v>149</v>
      </c>
      <c r="G13" s="2">
        <f t="shared" si="0"/>
        <v>11920</v>
      </c>
      <c r="H13" s="3"/>
      <c r="I13" s="3"/>
      <c r="J13" s="10">
        <f t="shared" si="1"/>
        <v>0</v>
      </c>
      <c r="K13" s="3">
        <f t="shared" si="2"/>
        <v>149</v>
      </c>
      <c r="L13" s="4">
        <f t="shared" si="3"/>
        <v>0</v>
      </c>
      <c r="M13" s="4">
        <f t="shared" si="4"/>
        <v>11920</v>
      </c>
      <c r="N13" s="9" t="str">
        <f t="shared" si="5"/>
        <v>KEEP SELLING</v>
      </c>
    </row>
    <row r="14" spans="1:18" ht="18" customHeight="1" x14ac:dyDescent="0.2">
      <c r="A14" s="15" t="s">
        <v>60</v>
      </c>
      <c r="B14" s="15" t="s">
        <v>68</v>
      </c>
      <c r="C14" s="13" t="s">
        <v>37</v>
      </c>
      <c r="D14" s="13" t="s">
        <v>37</v>
      </c>
      <c r="E14" s="2">
        <v>50</v>
      </c>
      <c r="F14" s="14">
        <v>3</v>
      </c>
      <c r="G14" s="2">
        <f t="shared" si="0"/>
        <v>150</v>
      </c>
      <c r="H14" s="3"/>
      <c r="I14" s="3"/>
      <c r="J14" s="10">
        <f t="shared" si="1"/>
        <v>0</v>
      </c>
      <c r="K14" s="3">
        <f t="shared" si="2"/>
        <v>3</v>
      </c>
      <c r="L14" s="4">
        <f t="shared" si="3"/>
        <v>0</v>
      </c>
      <c r="M14" s="4">
        <f t="shared" si="4"/>
        <v>150</v>
      </c>
      <c r="N14" s="9" t="str">
        <f t="shared" si="5"/>
        <v>KEEP SELLING</v>
      </c>
    </row>
    <row r="15" spans="1:18" ht="18" customHeight="1" x14ac:dyDescent="0.2">
      <c r="A15" s="15" t="s">
        <v>60</v>
      </c>
      <c r="B15" s="15" t="s">
        <v>68</v>
      </c>
      <c r="C15" s="13" t="s">
        <v>38</v>
      </c>
      <c r="D15" s="13" t="s">
        <v>38</v>
      </c>
      <c r="E15" s="2">
        <v>50</v>
      </c>
      <c r="F15" s="14">
        <v>35</v>
      </c>
      <c r="G15" s="2">
        <f t="shared" si="0"/>
        <v>1750</v>
      </c>
      <c r="H15" s="3"/>
      <c r="I15" s="3"/>
      <c r="J15" s="10">
        <f t="shared" si="1"/>
        <v>0</v>
      </c>
      <c r="K15" s="3">
        <f t="shared" si="2"/>
        <v>35</v>
      </c>
      <c r="L15" s="4">
        <f t="shared" si="3"/>
        <v>0</v>
      </c>
      <c r="M15" s="4">
        <f t="shared" si="4"/>
        <v>1750</v>
      </c>
      <c r="N15" s="9" t="str">
        <f t="shared" si="5"/>
        <v>KEEP SELLING</v>
      </c>
    </row>
    <row r="16" spans="1:18" ht="18" customHeight="1" x14ac:dyDescent="0.2">
      <c r="A16" s="15" t="s">
        <v>60</v>
      </c>
      <c r="B16" s="15" t="s">
        <v>68</v>
      </c>
      <c r="C16" s="13" t="s">
        <v>39</v>
      </c>
      <c r="D16" s="13" t="s">
        <v>39</v>
      </c>
      <c r="E16" s="2">
        <v>80</v>
      </c>
      <c r="F16" s="14">
        <v>1</v>
      </c>
      <c r="G16" s="2">
        <f t="shared" si="0"/>
        <v>80</v>
      </c>
      <c r="H16" s="3"/>
      <c r="I16" s="3"/>
      <c r="J16" s="10">
        <f t="shared" si="1"/>
        <v>0</v>
      </c>
      <c r="K16" s="3">
        <f t="shared" si="2"/>
        <v>1</v>
      </c>
      <c r="L16" s="4">
        <f t="shared" si="3"/>
        <v>0</v>
      </c>
      <c r="M16" s="4">
        <f t="shared" si="4"/>
        <v>80</v>
      </c>
      <c r="N16" s="9" t="str">
        <f t="shared" si="5"/>
        <v>KEEP SELLING</v>
      </c>
    </row>
    <row r="17" spans="1:14" ht="18" customHeight="1" x14ac:dyDescent="0.2">
      <c r="A17" s="15" t="s">
        <v>60</v>
      </c>
      <c r="B17" s="15" t="s">
        <v>68</v>
      </c>
      <c r="C17" s="13" t="s">
        <v>40</v>
      </c>
      <c r="D17" s="13" t="s">
        <v>40</v>
      </c>
      <c r="E17" s="2">
        <v>50</v>
      </c>
      <c r="F17" s="14">
        <v>3</v>
      </c>
      <c r="G17" s="2">
        <f t="shared" si="0"/>
        <v>150</v>
      </c>
      <c r="H17" s="3"/>
      <c r="I17" s="3"/>
      <c r="J17" s="10">
        <f t="shared" si="1"/>
        <v>0</v>
      </c>
      <c r="K17" s="3">
        <f t="shared" si="2"/>
        <v>3</v>
      </c>
      <c r="L17" s="4">
        <f t="shared" si="3"/>
        <v>0</v>
      </c>
      <c r="M17" s="4">
        <f t="shared" si="4"/>
        <v>150</v>
      </c>
      <c r="N17" s="9" t="str">
        <f t="shared" si="5"/>
        <v>KEEP SELLING</v>
      </c>
    </row>
    <row r="18" spans="1:14" ht="18" customHeight="1" x14ac:dyDescent="0.2">
      <c r="A18" s="15" t="s">
        <v>60</v>
      </c>
      <c r="B18" s="15" t="s">
        <v>68</v>
      </c>
      <c r="C18" s="13" t="s">
        <v>41</v>
      </c>
      <c r="D18" s="13" t="s">
        <v>41</v>
      </c>
      <c r="E18" s="2">
        <v>80</v>
      </c>
      <c r="F18" s="14">
        <v>25</v>
      </c>
      <c r="G18" s="2">
        <f t="shared" si="0"/>
        <v>2000</v>
      </c>
      <c r="H18" s="3"/>
      <c r="I18" s="3"/>
      <c r="J18" s="10">
        <f t="shared" si="1"/>
        <v>0</v>
      </c>
      <c r="K18" s="3">
        <f t="shared" si="2"/>
        <v>25</v>
      </c>
      <c r="L18" s="4">
        <f t="shared" si="3"/>
        <v>0</v>
      </c>
      <c r="M18" s="4">
        <f t="shared" si="4"/>
        <v>2000</v>
      </c>
      <c r="N18" s="9" t="str">
        <f t="shared" si="5"/>
        <v>KEEP SELLING</v>
      </c>
    </row>
    <row r="19" spans="1:14" ht="18" customHeight="1" x14ac:dyDescent="0.2">
      <c r="A19" s="15" t="s">
        <v>59</v>
      </c>
      <c r="B19" s="15" t="s">
        <v>69</v>
      </c>
      <c r="C19" s="13" t="s">
        <v>42</v>
      </c>
      <c r="D19" s="13" t="s">
        <v>42</v>
      </c>
      <c r="E19" s="2">
        <v>50</v>
      </c>
      <c r="F19" s="14">
        <v>160</v>
      </c>
      <c r="G19" s="2">
        <f t="shared" si="0"/>
        <v>8000</v>
      </c>
      <c r="H19" s="3"/>
      <c r="I19" s="3"/>
      <c r="J19" s="10">
        <f t="shared" si="1"/>
        <v>0</v>
      </c>
      <c r="K19" s="3">
        <f t="shared" si="2"/>
        <v>160</v>
      </c>
      <c r="L19" s="4">
        <f t="shared" si="3"/>
        <v>0</v>
      </c>
      <c r="M19" s="4">
        <f t="shared" si="4"/>
        <v>8000</v>
      </c>
      <c r="N19" s="9" t="str">
        <f t="shared" si="5"/>
        <v>KEEP SELLING</v>
      </c>
    </row>
    <row r="20" spans="1:14" ht="18" customHeight="1" x14ac:dyDescent="0.2">
      <c r="A20" s="15" t="s">
        <v>59</v>
      </c>
      <c r="B20" s="15" t="s">
        <v>69</v>
      </c>
      <c r="C20" s="13" t="s">
        <v>43</v>
      </c>
      <c r="D20" s="13" t="s">
        <v>43</v>
      </c>
      <c r="E20" s="2">
        <v>80</v>
      </c>
      <c r="F20" s="14">
        <v>121</v>
      </c>
      <c r="G20" s="2">
        <f t="shared" ref="G20:G33" si="6">E20*F20</f>
        <v>9680</v>
      </c>
      <c r="H20" s="3"/>
      <c r="I20" s="3"/>
      <c r="J20" s="10">
        <f t="shared" si="1"/>
        <v>0</v>
      </c>
      <c r="K20" s="3">
        <f t="shared" si="2"/>
        <v>121</v>
      </c>
      <c r="L20" s="4">
        <f t="shared" si="3"/>
        <v>0</v>
      </c>
      <c r="M20" s="4">
        <f t="shared" si="4"/>
        <v>9680</v>
      </c>
      <c r="N20" s="9" t="str">
        <f t="shared" si="5"/>
        <v>KEEP SELLING</v>
      </c>
    </row>
    <row r="21" spans="1:14" ht="18" customHeight="1" x14ac:dyDescent="0.2">
      <c r="A21" s="15" t="s">
        <v>59</v>
      </c>
      <c r="B21" s="15" t="s">
        <v>69</v>
      </c>
      <c r="C21" s="13" t="s">
        <v>44</v>
      </c>
      <c r="D21" s="13" t="s">
        <v>44</v>
      </c>
      <c r="E21" s="2">
        <v>120</v>
      </c>
      <c r="F21" s="14">
        <v>80</v>
      </c>
      <c r="G21" s="2">
        <f t="shared" si="6"/>
        <v>9600</v>
      </c>
      <c r="H21" s="3"/>
      <c r="I21" s="3"/>
      <c r="J21" s="10">
        <f t="shared" si="1"/>
        <v>0</v>
      </c>
      <c r="K21" s="3">
        <f t="shared" si="2"/>
        <v>80</v>
      </c>
      <c r="L21" s="4">
        <f t="shared" si="3"/>
        <v>0</v>
      </c>
      <c r="M21" s="4">
        <f t="shared" si="4"/>
        <v>9600</v>
      </c>
      <c r="N21" s="9" t="str">
        <f t="shared" si="5"/>
        <v>KEEP SELLING</v>
      </c>
    </row>
    <row r="22" spans="1:14" ht="18" customHeight="1" x14ac:dyDescent="0.2">
      <c r="A22" s="15" t="s">
        <v>59</v>
      </c>
      <c r="B22" s="15" t="s">
        <v>69</v>
      </c>
      <c r="C22" s="13" t="s">
        <v>45</v>
      </c>
      <c r="D22" s="13" t="s">
        <v>45</v>
      </c>
      <c r="E22" s="2">
        <v>50</v>
      </c>
      <c r="F22" s="14">
        <v>281</v>
      </c>
      <c r="G22" s="2">
        <f t="shared" si="6"/>
        <v>14050</v>
      </c>
      <c r="H22" s="3"/>
      <c r="I22" s="3"/>
      <c r="J22" s="10">
        <f t="shared" si="1"/>
        <v>0</v>
      </c>
      <c r="K22" s="3">
        <f t="shared" si="2"/>
        <v>281</v>
      </c>
      <c r="L22" s="4">
        <f t="shared" si="3"/>
        <v>0</v>
      </c>
      <c r="M22" s="4">
        <f t="shared" si="4"/>
        <v>14050</v>
      </c>
      <c r="N22" s="9" t="str">
        <f t="shared" si="5"/>
        <v>KEEP SELLING</v>
      </c>
    </row>
    <row r="23" spans="1:14" ht="18" customHeight="1" x14ac:dyDescent="0.2">
      <c r="A23" s="15" t="s">
        <v>59</v>
      </c>
      <c r="B23" s="15" t="s">
        <v>69</v>
      </c>
      <c r="C23" s="13" t="s">
        <v>46</v>
      </c>
      <c r="D23" s="13" t="s">
        <v>46</v>
      </c>
      <c r="E23" s="2">
        <v>80</v>
      </c>
      <c r="F23" s="14">
        <v>256</v>
      </c>
      <c r="G23" s="2">
        <f t="shared" si="6"/>
        <v>20480</v>
      </c>
      <c r="H23" s="3"/>
      <c r="I23" s="3"/>
      <c r="J23" s="10">
        <f t="shared" si="1"/>
        <v>0</v>
      </c>
      <c r="K23" s="3">
        <f t="shared" si="2"/>
        <v>256</v>
      </c>
      <c r="L23" s="4">
        <f t="shared" si="3"/>
        <v>0</v>
      </c>
      <c r="M23" s="4">
        <f t="shared" si="4"/>
        <v>20480</v>
      </c>
      <c r="N23" s="9" t="str">
        <f t="shared" si="5"/>
        <v>KEEP SELLING</v>
      </c>
    </row>
    <row r="24" spans="1:14" ht="18" customHeight="1" x14ac:dyDescent="0.2">
      <c r="A24" s="15" t="s">
        <v>59</v>
      </c>
      <c r="B24" s="15" t="s">
        <v>69</v>
      </c>
      <c r="C24" s="13" t="s">
        <v>47</v>
      </c>
      <c r="D24" s="13" t="s">
        <v>47</v>
      </c>
      <c r="E24" s="2">
        <v>120</v>
      </c>
      <c r="F24" s="14">
        <v>100</v>
      </c>
      <c r="G24" s="2">
        <f t="shared" si="6"/>
        <v>12000</v>
      </c>
      <c r="H24" s="3"/>
      <c r="I24" s="3"/>
      <c r="J24" s="10">
        <f t="shared" si="1"/>
        <v>0</v>
      </c>
      <c r="K24" s="3">
        <f t="shared" si="2"/>
        <v>100</v>
      </c>
      <c r="L24" s="4">
        <f t="shared" si="3"/>
        <v>0</v>
      </c>
      <c r="M24" s="4">
        <f t="shared" si="4"/>
        <v>12000</v>
      </c>
      <c r="N24" s="9" t="str">
        <f t="shared" si="5"/>
        <v>KEEP SELLING</v>
      </c>
    </row>
    <row r="25" spans="1:14" ht="18" customHeight="1" x14ac:dyDescent="0.2">
      <c r="A25" s="15" t="s">
        <v>59</v>
      </c>
      <c r="B25" s="15" t="s">
        <v>69</v>
      </c>
      <c r="C25" s="13" t="s">
        <v>48</v>
      </c>
      <c r="D25" s="13" t="s">
        <v>48</v>
      </c>
      <c r="E25" s="2">
        <v>50</v>
      </c>
      <c r="F25" s="14">
        <v>161</v>
      </c>
      <c r="G25" s="2">
        <f t="shared" si="6"/>
        <v>8050</v>
      </c>
      <c r="H25" s="3"/>
      <c r="I25" s="3"/>
      <c r="J25" s="10">
        <f t="shared" si="1"/>
        <v>0</v>
      </c>
      <c r="K25" s="3">
        <f t="shared" si="2"/>
        <v>161</v>
      </c>
      <c r="L25" s="4">
        <f t="shared" si="3"/>
        <v>0</v>
      </c>
      <c r="M25" s="4">
        <f t="shared" si="4"/>
        <v>8050</v>
      </c>
      <c r="N25" s="9" t="str">
        <f t="shared" si="5"/>
        <v>KEEP SELLING</v>
      </c>
    </row>
    <row r="26" spans="1:14" ht="18" customHeight="1" x14ac:dyDescent="0.2">
      <c r="A26" s="15" t="s">
        <v>59</v>
      </c>
      <c r="B26" s="15" t="s">
        <v>69</v>
      </c>
      <c r="C26" s="13" t="s">
        <v>49</v>
      </c>
      <c r="D26" s="13" t="s">
        <v>49</v>
      </c>
      <c r="E26" s="2">
        <v>80</v>
      </c>
      <c r="F26" s="14">
        <v>160</v>
      </c>
      <c r="G26" s="2">
        <f t="shared" si="6"/>
        <v>12800</v>
      </c>
      <c r="H26" s="3"/>
      <c r="I26" s="3"/>
      <c r="J26" s="10">
        <f t="shared" si="1"/>
        <v>0</v>
      </c>
      <c r="K26" s="3">
        <f t="shared" si="2"/>
        <v>160</v>
      </c>
      <c r="L26" s="4">
        <f t="shared" si="3"/>
        <v>0</v>
      </c>
      <c r="M26" s="4">
        <f t="shared" si="4"/>
        <v>12800</v>
      </c>
      <c r="N26" s="9" t="str">
        <f t="shared" si="5"/>
        <v>KEEP SELLING</v>
      </c>
    </row>
    <row r="27" spans="1:14" ht="18" customHeight="1" x14ac:dyDescent="0.2">
      <c r="A27" s="15" t="s">
        <v>59</v>
      </c>
      <c r="B27" s="15" t="s">
        <v>69</v>
      </c>
      <c r="C27" s="13" t="s">
        <v>50</v>
      </c>
      <c r="D27" s="13" t="s">
        <v>50</v>
      </c>
      <c r="E27" s="2">
        <v>120</v>
      </c>
      <c r="F27" s="14">
        <v>80</v>
      </c>
      <c r="G27" s="2">
        <f t="shared" si="6"/>
        <v>9600</v>
      </c>
      <c r="H27" s="3"/>
      <c r="I27" s="3"/>
      <c r="J27" s="10">
        <f t="shared" si="1"/>
        <v>0</v>
      </c>
      <c r="K27" s="3">
        <f t="shared" si="2"/>
        <v>80</v>
      </c>
      <c r="L27" s="4">
        <f t="shared" si="3"/>
        <v>0</v>
      </c>
      <c r="M27" s="4">
        <f t="shared" si="4"/>
        <v>9600</v>
      </c>
      <c r="N27" s="9" t="str">
        <f t="shared" si="5"/>
        <v>KEEP SELLING</v>
      </c>
    </row>
    <row r="28" spans="1:14" ht="18" customHeight="1" x14ac:dyDescent="0.2">
      <c r="A28" s="15" t="s">
        <v>59</v>
      </c>
      <c r="B28" s="15" t="s">
        <v>69</v>
      </c>
      <c r="C28" s="13" t="s">
        <v>51</v>
      </c>
      <c r="D28" s="13" t="s">
        <v>51</v>
      </c>
      <c r="E28" s="2">
        <v>50</v>
      </c>
      <c r="F28" s="14">
        <v>83</v>
      </c>
      <c r="G28" s="2">
        <f t="shared" si="6"/>
        <v>4150</v>
      </c>
      <c r="H28" s="3"/>
      <c r="I28" s="3"/>
      <c r="J28" s="10">
        <f>H28+I28</f>
        <v>0</v>
      </c>
      <c r="K28" s="3">
        <f>F28-J28</f>
        <v>83</v>
      </c>
      <c r="L28" s="4">
        <f t="shared" si="3"/>
        <v>0</v>
      </c>
      <c r="M28" s="4">
        <f t="shared" si="4"/>
        <v>4150</v>
      </c>
      <c r="N28" s="9" t="str">
        <f t="shared" si="5"/>
        <v>KEEP SELLING</v>
      </c>
    </row>
    <row r="29" spans="1:14" ht="18" customHeight="1" x14ac:dyDescent="0.2">
      <c r="A29" s="15" t="s">
        <v>59</v>
      </c>
      <c r="B29" s="15" t="s">
        <v>69</v>
      </c>
      <c r="C29" s="13" t="s">
        <v>52</v>
      </c>
      <c r="D29" s="13" t="s">
        <v>52</v>
      </c>
      <c r="E29" s="2">
        <v>80</v>
      </c>
      <c r="F29" s="14">
        <v>80</v>
      </c>
      <c r="G29" s="2">
        <f t="shared" si="6"/>
        <v>6400</v>
      </c>
      <c r="H29" s="3"/>
      <c r="I29" s="3"/>
      <c r="J29" s="10">
        <f t="shared" ref="J29:J30" si="7">H29+I29</f>
        <v>0</v>
      </c>
      <c r="K29" s="3">
        <f t="shared" ref="K29:K30" si="8">F29-J29</f>
        <v>80</v>
      </c>
      <c r="L29" s="4">
        <f t="shared" si="3"/>
        <v>0</v>
      </c>
      <c r="M29" s="4">
        <f t="shared" si="4"/>
        <v>6400</v>
      </c>
      <c r="N29" s="9" t="str">
        <f t="shared" si="5"/>
        <v>KEEP SELLING</v>
      </c>
    </row>
    <row r="30" spans="1:14" ht="18" customHeight="1" x14ac:dyDescent="0.2">
      <c r="A30" s="15" t="s">
        <v>59</v>
      </c>
      <c r="B30" s="15" t="s">
        <v>69</v>
      </c>
      <c r="C30" s="13" t="s">
        <v>53</v>
      </c>
      <c r="D30" s="13" t="s">
        <v>53</v>
      </c>
      <c r="E30" s="2">
        <v>120</v>
      </c>
      <c r="F30" s="14">
        <v>40</v>
      </c>
      <c r="G30" s="2">
        <f t="shared" si="6"/>
        <v>4800</v>
      </c>
      <c r="H30" s="3"/>
      <c r="I30" s="3"/>
      <c r="J30" s="10">
        <f t="shared" si="7"/>
        <v>0</v>
      </c>
      <c r="K30" s="3">
        <f t="shared" si="8"/>
        <v>40</v>
      </c>
      <c r="L30" s="4">
        <f t="shared" si="3"/>
        <v>0</v>
      </c>
      <c r="M30" s="4">
        <f t="shared" si="4"/>
        <v>4800</v>
      </c>
      <c r="N30" s="9" t="str">
        <f t="shared" si="5"/>
        <v>KEEP SELLING</v>
      </c>
    </row>
    <row r="31" spans="1:14" ht="18" customHeight="1" x14ac:dyDescent="0.2">
      <c r="A31" s="15" t="s">
        <v>58</v>
      </c>
      <c r="B31" s="15" t="s">
        <v>70</v>
      </c>
      <c r="C31" s="13" t="s">
        <v>16</v>
      </c>
      <c r="D31" s="13" t="s">
        <v>16</v>
      </c>
      <c r="E31" s="2">
        <v>40</v>
      </c>
      <c r="F31" s="14">
        <v>744</v>
      </c>
      <c r="G31" s="2">
        <f t="shared" si="6"/>
        <v>29760</v>
      </c>
      <c r="H31" s="3"/>
      <c r="I31" s="3"/>
      <c r="J31" s="10">
        <f>H31+I31</f>
        <v>0</v>
      </c>
      <c r="K31" s="3">
        <f>F31-J31</f>
        <v>744</v>
      </c>
      <c r="L31" s="4">
        <f t="shared" si="3"/>
        <v>0</v>
      </c>
      <c r="M31" s="4">
        <f t="shared" si="4"/>
        <v>29760</v>
      </c>
      <c r="N31" s="9" t="str">
        <f t="shared" si="5"/>
        <v>KEEP SELLING</v>
      </c>
    </row>
    <row r="32" spans="1:14" ht="18" customHeight="1" x14ac:dyDescent="0.2">
      <c r="A32" s="15" t="s">
        <v>58</v>
      </c>
      <c r="B32" s="15" t="s">
        <v>70</v>
      </c>
      <c r="C32" s="13" t="s">
        <v>17</v>
      </c>
      <c r="D32" s="13" t="s">
        <v>17</v>
      </c>
      <c r="E32" s="2">
        <v>40</v>
      </c>
      <c r="F32" s="14">
        <v>493</v>
      </c>
      <c r="G32" s="2">
        <f t="shared" si="6"/>
        <v>19720</v>
      </c>
      <c r="H32" s="3"/>
      <c r="I32" s="3"/>
      <c r="J32" s="10">
        <f t="shared" ref="J32:J33" si="9">H32+I32</f>
        <v>0</v>
      </c>
      <c r="K32" s="3">
        <f t="shared" ref="K32:K33" si="10">F32-J32</f>
        <v>493</v>
      </c>
      <c r="L32" s="4">
        <f t="shared" si="3"/>
        <v>0</v>
      </c>
      <c r="M32" s="4">
        <f t="shared" si="4"/>
        <v>19720</v>
      </c>
      <c r="N32" s="9" t="str">
        <f t="shared" si="5"/>
        <v>KEEP SELLING</v>
      </c>
    </row>
    <row r="33" spans="1:14" ht="18" customHeight="1" x14ac:dyDescent="0.2">
      <c r="A33" s="15" t="s">
        <v>58</v>
      </c>
      <c r="B33" s="15" t="s">
        <v>70</v>
      </c>
      <c r="C33" s="13" t="s">
        <v>18</v>
      </c>
      <c r="D33" s="13" t="s">
        <v>18</v>
      </c>
      <c r="E33" s="2">
        <v>50</v>
      </c>
      <c r="F33" s="14">
        <v>600</v>
      </c>
      <c r="G33" s="2">
        <f t="shared" si="6"/>
        <v>30000</v>
      </c>
      <c r="H33" s="3"/>
      <c r="I33" s="3"/>
      <c r="J33" s="10">
        <f t="shared" si="9"/>
        <v>0</v>
      </c>
      <c r="K33" s="3">
        <f t="shared" si="10"/>
        <v>600</v>
      </c>
      <c r="L33" s="4">
        <f t="shared" si="3"/>
        <v>0</v>
      </c>
      <c r="M33" s="4">
        <f t="shared" si="4"/>
        <v>30000</v>
      </c>
      <c r="N33" s="9" t="str">
        <f t="shared" si="5"/>
        <v>KEEP SELLING</v>
      </c>
    </row>
    <row r="34" spans="1:14" ht="18" customHeight="1" x14ac:dyDescent="0.2">
      <c r="A34" s="18" t="s">
        <v>57</v>
      </c>
      <c r="B34" s="18" t="s">
        <v>61</v>
      </c>
      <c r="C34" s="13" t="s">
        <v>14</v>
      </c>
      <c r="D34" s="13" t="s">
        <v>14</v>
      </c>
      <c r="E34" s="17">
        <v>80</v>
      </c>
      <c r="F34" s="14">
        <v>2</v>
      </c>
      <c r="G34" s="17">
        <f t="shared" ref="G34:G36" si="11">E34*F34</f>
        <v>160</v>
      </c>
      <c r="H34" s="3"/>
      <c r="I34" s="3"/>
      <c r="J34" s="10">
        <f t="shared" ref="J34:J36" si="12">H34+I34</f>
        <v>0</v>
      </c>
      <c r="K34" s="3">
        <f t="shared" ref="K34:K36" si="13">F34-J34</f>
        <v>2</v>
      </c>
      <c r="L34" s="4">
        <f t="shared" ref="L34:L36" si="14">J34*E34</f>
        <v>0</v>
      </c>
      <c r="M34" s="4">
        <f t="shared" ref="M34:M36" si="15">G34-L34</f>
        <v>160</v>
      </c>
      <c r="N34" s="9" t="str">
        <f t="shared" ref="N34:N36" si="16">IF(M34&gt;0,"KEEP SELLING", "DO NOT SELL")</f>
        <v>KEEP SELLING</v>
      </c>
    </row>
    <row r="35" spans="1:14" ht="18" customHeight="1" x14ac:dyDescent="0.2">
      <c r="A35" s="18" t="s">
        <v>57</v>
      </c>
      <c r="B35" s="18" t="s">
        <v>61</v>
      </c>
      <c r="C35" s="13" t="s">
        <v>54</v>
      </c>
      <c r="D35" s="13" t="s">
        <v>54</v>
      </c>
      <c r="E35" s="17">
        <v>120</v>
      </c>
      <c r="F35" s="14">
        <v>6</v>
      </c>
      <c r="G35" s="17">
        <f t="shared" si="11"/>
        <v>720</v>
      </c>
      <c r="H35" s="3"/>
      <c r="I35" s="3"/>
      <c r="J35" s="10">
        <f t="shared" si="12"/>
        <v>0</v>
      </c>
      <c r="K35" s="3">
        <f t="shared" si="13"/>
        <v>6</v>
      </c>
      <c r="L35" s="4">
        <f t="shared" si="14"/>
        <v>0</v>
      </c>
      <c r="M35" s="4">
        <f t="shared" si="15"/>
        <v>720</v>
      </c>
      <c r="N35" s="9" t="str">
        <f t="shared" si="16"/>
        <v>KEEP SELLING</v>
      </c>
    </row>
    <row r="36" spans="1:14" ht="18" customHeight="1" x14ac:dyDescent="0.2">
      <c r="A36" s="18" t="s">
        <v>57</v>
      </c>
      <c r="B36" s="18" t="s">
        <v>61</v>
      </c>
      <c r="C36" s="13" t="s">
        <v>15</v>
      </c>
      <c r="D36" s="13" t="s">
        <v>15</v>
      </c>
      <c r="E36" s="17">
        <v>100</v>
      </c>
      <c r="F36" s="14">
        <v>2</v>
      </c>
      <c r="G36" s="17">
        <f t="shared" si="11"/>
        <v>200</v>
      </c>
      <c r="H36" s="3"/>
      <c r="I36" s="3"/>
      <c r="J36" s="10">
        <f t="shared" si="12"/>
        <v>0</v>
      </c>
      <c r="K36" s="3">
        <f t="shared" si="13"/>
        <v>2</v>
      </c>
      <c r="L36" s="4">
        <f t="shared" si="14"/>
        <v>0</v>
      </c>
      <c r="M36" s="4">
        <f t="shared" si="15"/>
        <v>200</v>
      </c>
      <c r="N36" s="9" t="str">
        <f t="shared" si="16"/>
        <v>KEEP SELLING</v>
      </c>
    </row>
    <row r="37" spans="1:14" ht="18" customHeight="1" x14ac:dyDescent="0.2">
      <c r="A37" s="16" t="s">
        <v>65</v>
      </c>
      <c r="B37" s="16" t="s">
        <v>64</v>
      </c>
      <c r="C37" s="13" t="s">
        <v>22</v>
      </c>
      <c r="D37" s="13" t="s">
        <v>22</v>
      </c>
      <c r="E37" s="2">
        <v>25</v>
      </c>
      <c r="F37" s="14">
        <v>13</v>
      </c>
      <c r="G37" s="2">
        <f t="shared" ref="G37:G47" si="17">E37*F37</f>
        <v>325</v>
      </c>
      <c r="H37" s="3"/>
      <c r="I37" s="3"/>
      <c r="J37" s="10">
        <f>H37+I37</f>
        <v>0</v>
      </c>
      <c r="K37" s="3">
        <f>F37-J37</f>
        <v>13</v>
      </c>
      <c r="L37" s="4">
        <f t="shared" ref="L37:L47" si="18">J37*E37</f>
        <v>0</v>
      </c>
      <c r="M37" s="4">
        <f t="shared" ref="M37:M47" si="19">G37-L37</f>
        <v>325</v>
      </c>
      <c r="N37" s="9" t="str">
        <f t="shared" ref="N37:N47" si="20">IF(M37&gt;0,"KEEP SELLING", "DO NOT SELL")</f>
        <v>KEEP SELLING</v>
      </c>
    </row>
    <row r="38" spans="1:14" ht="18" customHeight="1" x14ac:dyDescent="0.2">
      <c r="A38" s="16" t="s">
        <v>65</v>
      </c>
      <c r="B38" s="16" t="s">
        <v>64</v>
      </c>
      <c r="C38" s="13" t="s">
        <v>23</v>
      </c>
      <c r="D38" s="13" t="s">
        <v>23</v>
      </c>
      <c r="E38" s="2">
        <v>54</v>
      </c>
      <c r="F38" s="14">
        <v>99</v>
      </c>
      <c r="G38" s="2">
        <f t="shared" si="17"/>
        <v>5346</v>
      </c>
      <c r="H38" s="3"/>
      <c r="I38" s="12"/>
      <c r="J38" s="10">
        <f t="shared" ref="J38:J47" si="21">H38+I38</f>
        <v>0</v>
      </c>
      <c r="K38" s="3">
        <f t="shared" ref="K38:K47" si="22">F38-J38</f>
        <v>99</v>
      </c>
      <c r="L38" s="4">
        <f t="shared" si="18"/>
        <v>0</v>
      </c>
      <c r="M38" s="4">
        <f t="shared" si="19"/>
        <v>5346</v>
      </c>
      <c r="N38" s="9" t="str">
        <f t="shared" si="20"/>
        <v>KEEP SELLING</v>
      </c>
    </row>
    <row r="39" spans="1:14" ht="18" customHeight="1" x14ac:dyDescent="0.2">
      <c r="A39" s="16" t="s">
        <v>65</v>
      </c>
      <c r="B39" s="16" t="s">
        <v>64</v>
      </c>
      <c r="C39" s="13" t="s">
        <v>24</v>
      </c>
      <c r="D39" s="13" t="s">
        <v>24</v>
      </c>
      <c r="E39" s="2">
        <v>87</v>
      </c>
      <c r="F39" s="14">
        <v>25</v>
      </c>
      <c r="G39" s="2">
        <f t="shared" si="17"/>
        <v>2175</v>
      </c>
      <c r="H39" s="3"/>
      <c r="I39" s="3"/>
      <c r="J39" s="10">
        <f t="shared" si="21"/>
        <v>0</v>
      </c>
      <c r="K39" s="3">
        <f t="shared" si="22"/>
        <v>25</v>
      </c>
      <c r="L39" s="4">
        <f t="shared" si="18"/>
        <v>0</v>
      </c>
      <c r="M39" s="4">
        <f t="shared" si="19"/>
        <v>2175</v>
      </c>
      <c r="N39" s="9" t="str">
        <f t="shared" si="20"/>
        <v>KEEP SELLING</v>
      </c>
    </row>
    <row r="40" spans="1:14" ht="18" customHeight="1" x14ac:dyDescent="0.2">
      <c r="A40" s="16" t="s">
        <v>55</v>
      </c>
      <c r="B40" s="16" t="s">
        <v>56</v>
      </c>
      <c r="C40" s="13" t="s">
        <v>16</v>
      </c>
      <c r="D40" s="13" t="s">
        <v>16</v>
      </c>
      <c r="E40" s="2">
        <v>40</v>
      </c>
      <c r="F40" s="14">
        <v>180</v>
      </c>
      <c r="G40" s="2">
        <f t="shared" si="17"/>
        <v>7200</v>
      </c>
      <c r="H40" s="3"/>
      <c r="I40" s="3"/>
      <c r="J40" s="10">
        <f t="shared" si="21"/>
        <v>0</v>
      </c>
      <c r="K40" s="3">
        <f t="shared" si="22"/>
        <v>180</v>
      </c>
      <c r="L40" s="4">
        <f t="shared" si="18"/>
        <v>0</v>
      </c>
      <c r="M40" s="4">
        <f t="shared" si="19"/>
        <v>7200</v>
      </c>
      <c r="N40" s="9" t="str">
        <f t="shared" si="20"/>
        <v>KEEP SELLING</v>
      </c>
    </row>
    <row r="41" spans="1:14" ht="18" customHeight="1" x14ac:dyDescent="0.2">
      <c r="A41" s="16" t="s">
        <v>55</v>
      </c>
      <c r="B41" s="16" t="s">
        <v>56</v>
      </c>
      <c r="C41" s="13" t="s">
        <v>17</v>
      </c>
      <c r="D41" s="13" t="s">
        <v>17</v>
      </c>
      <c r="E41" s="2">
        <v>40</v>
      </c>
      <c r="F41" s="14">
        <v>219</v>
      </c>
      <c r="G41" s="2">
        <f t="shared" si="17"/>
        <v>8760</v>
      </c>
      <c r="H41" s="3"/>
      <c r="I41" s="3"/>
      <c r="J41" s="10">
        <f t="shared" si="21"/>
        <v>0</v>
      </c>
      <c r="K41" s="3">
        <f t="shared" si="22"/>
        <v>219</v>
      </c>
      <c r="L41" s="4">
        <f t="shared" si="18"/>
        <v>0</v>
      </c>
      <c r="M41" s="4">
        <f t="shared" si="19"/>
        <v>8760</v>
      </c>
      <c r="N41" s="9" t="str">
        <f t="shared" si="20"/>
        <v>KEEP SELLING</v>
      </c>
    </row>
    <row r="42" spans="1:14" ht="18" customHeight="1" x14ac:dyDescent="0.2">
      <c r="A42" s="16" t="s">
        <v>55</v>
      </c>
      <c r="B42" s="16" t="s">
        <v>56</v>
      </c>
      <c r="C42" s="13" t="s">
        <v>19</v>
      </c>
      <c r="D42" s="13" t="s">
        <v>19</v>
      </c>
      <c r="E42" s="2">
        <v>30</v>
      </c>
      <c r="F42" s="14">
        <v>83</v>
      </c>
      <c r="G42" s="2">
        <f t="shared" si="17"/>
        <v>2490</v>
      </c>
      <c r="H42" s="3"/>
      <c r="I42" s="3"/>
      <c r="J42" s="10">
        <f t="shared" si="21"/>
        <v>0</v>
      </c>
      <c r="K42" s="3">
        <f t="shared" si="22"/>
        <v>83</v>
      </c>
      <c r="L42" s="4">
        <f t="shared" si="18"/>
        <v>0</v>
      </c>
      <c r="M42" s="4">
        <f t="shared" si="19"/>
        <v>2490</v>
      </c>
      <c r="N42" s="9" t="str">
        <f t="shared" si="20"/>
        <v>KEEP SELLING</v>
      </c>
    </row>
    <row r="43" spans="1:14" ht="18" customHeight="1" x14ac:dyDescent="0.2">
      <c r="A43" s="16" t="s">
        <v>55</v>
      </c>
      <c r="B43" s="16" t="s">
        <v>56</v>
      </c>
      <c r="C43" s="13" t="s">
        <v>18</v>
      </c>
      <c r="D43" s="13" t="s">
        <v>18</v>
      </c>
      <c r="E43" s="2">
        <v>50</v>
      </c>
      <c r="F43" s="14">
        <v>244</v>
      </c>
      <c r="G43" s="2">
        <f t="shared" si="17"/>
        <v>12200</v>
      </c>
      <c r="H43" s="3"/>
      <c r="I43" s="3"/>
      <c r="J43" s="10">
        <f t="shared" si="21"/>
        <v>0</v>
      </c>
      <c r="K43" s="3">
        <f t="shared" si="22"/>
        <v>244</v>
      </c>
      <c r="L43" s="4">
        <f t="shared" si="18"/>
        <v>0</v>
      </c>
      <c r="M43" s="4">
        <f t="shared" si="19"/>
        <v>12200</v>
      </c>
      <c r="N43" s="9" t="str">
        <f t="shared" si="20"/>
        <v>KEEP SELLING</v>
      </c>
    </row>
    <row r="44" spans="1:14" ht="18" customHeight="1" x14ac:dyDescent="0.2">
      <c r="A44" s="16" t="s">
        <v>66</v>
      </c>
      <c r="B44" s="16" t="s">
        <v>67</v>
      </c>
      <c r="C44" s="13" t="s">
        <v>16</v>
      </c>
      <c r="D44" s="13" t="s">
        <v>16</v>
      </c>
      <c r="E44" s="2">
        <v>40</v>
      </c>
      <c r="F44" s="14">
        <v>110</v>
      </c>
      <c r="G44" s="2">
        <f t="shared" si="17"/>
        <v>4400</v>
      </c>
      <c r="H44" s="3"/>
      <c r="I44" s="3"/>
      <c r="J44" s="10">
        <f t="shared" si="21"/>
        <v>0</v>
      </c>
      <c r="K44" s="3">
        <f t="shared" si="22"/>
        <v>110</v>
      </c>
      <c r="L44" s="4">
        <f t="shared" si="18"/>
        <v>0</v>
      </c>
      <c r="M44" s="4">
        <f t="shared" si="19"/>
        <v>4400</v>
      </c>
      <c r="N44" s="9" t="str">
        <f t="shared" si="20"/>
        <v>KEEP SELLING</v>
      </c>
    </row>
    <row r="45" spans="1:14" ht="18" customHeight="1" x14ac:dyDescent="0.2">
      <c r="A45" s="16" t="s">
        <v>66</v>
      </c>
      <c r="B45" s="16" t="s">
        <v>67</v>
      </c>
      <c r="C45" s="13" t="s">
        <v>17</v>
      </c>
      <c r="D45" s="13" t="s">
        <v>17</v>
      </c>
      <c r="E45" s="2">
        <v>40</v>
      </c>
      <c r="F45" s="14">
        <v>133</v>
      </c>
      <c r="G45" s="2">
        <f t="shared" si="17"/>
        <v>5320</v>
      </c>
      <c r="H45" s="3"/>
      <c r="I45" s="3"/>
      <c r="J45" s="10">
        <f t="shared" si="21"/>
        <v>0</v>
      </c>
      <c r="K45" s="3">
        <f t="shared" si="22"/>
        <v>133</v>
      </c>
      <c r="L45" s="4">
        <f t="shared" si="18"/>
        <v>0</v>
      </c>
      <c r="M45" s="4">
        <f t="shared" si="19"/>
        <v>5320</v>
      </c>
      <c r="N45" s="9" t="str">
        <f t="shared" si="20"/>
        <v>KEEP SELLING</v>
      </c>
    </row>
    <row r="46" spans="1:14" ht="18" customHeight="1" x14ac:dyDescent="0.2">
      <c r="A46" s="16" t="s">
        <v>66</v>
      </c>
      <c r="B46" s="16" t="s">
        <v>67</v>
      </c>
      <c r="C46" s="13" t="s">
        <v>19</v>
      </c>
      <c r="D46" s="13" t="s">
        <v>19</v>
      </c>
      <c r="E46" s="2">
        <v>30</v>
      </c>
      <c r="F46" s="14">
        <v>51</v>
      </c>
      <c r="G46" s="2">
        <f t="shared" si="17"/>
        <v>1530</v>
      </c>
      <c r="H46" s="3"/>
      <c r="I46" s="3"/>
      <c r="J46" s="10">
        <f t="shared" si="21"/>
        <v>0</v>
      </c>
      <c r="K46" s="3">
        <f t="shared" si="22"/>
        <v>51</v>
      </c>
      <c r="L46" s="4">
        <f t="shared" si="18"/>
        <v>0</v>
      </c>
      <c r="M46" s="4">
        <f t="shared" si="19"/>
        <v>1530</v>
      </c>
      <c r="N46" s="9" t="str">
        <f t="shared" si="20"/>
        <v>KEEP SELLING</v>
      </c>
    </row>
    <row r="47" spans="1:14" ht="18" customHeight="1" x14ac:dyDescent="0.2">
      <c r="A47" s="16" t="s">
        <v>66</v>
      </c>
      <c r="B47" s="16" t="s">
        <v>67</v>
      </c>
      <c r="C47" s="13" t="s">
        <v>18</v>
      </c>
      <c r="D47" s="13" t="s">
        <v>18</v>
      </c>
      <c r="E47" s="2">
        <v>50</v>
      </c>
      <c r="F47" s="14">
        <v>148</v>
      </c>
      <c r="G47" s="2">
        <f t="shared" si="17"/>
        <v>7400</v>
      </c>
      <c r="H47" s="3"/>
      <c r="I47" s="3"/>
      <c r="J47" s="10">
        <f t="shared" si="21"/>
        <v>0</v>
      </c>
      <c r="K47" s="3">
        <f t="shared" si="22"/>
        <v>148</v>
      </c>
      <c r="L47" s="4">
        <f t="shared" si="18"/>
        <v>0</v>
      </c>
      <c r="M47" s="4">
        <f t="shared" si="19"/>
        <v>7400</v>
      </c>
      <c r="N47" s="9" t="str">
        <f t="shared" si="20"/>
        <v>KEEP SELLING</v>
      </c>
    </row>
    <row r="48" spans="1:14" ht="18" customHeight="1" x14ac:dyDescent="0.2">
      <c r="A48" s="16" t="s">
        <v>62</v>
      </c>
      <c r="B48" s="16" t="s">
        <v>63</v>
      </c>
      <c r="C48" s="13" t="s">
        <v>20</v>
      </c>
      <c r="D48" s="13" t="s">
        <v>20</v>
      </c>
      <c r="E48" s="2">
        <v>8</v>
      </c>
      <c r="F48" s="14">
        <v>757</v>
      </c>
      <c r="G48" s="2">
        <f>E48*F48</f>
        <v>6056</v>
      </c>
      <c r="H48" s="3"/>
      <c r="I48" s="3"/>
      <c r="J48" s="10">
        <f>H48+I48</f>
        <v>0</v>
      </c>
      <c r="K48" s="3">
        <f>F48-J48</f>
        <v>757</v>
      </c>
      <c r="L48" s="4">
        <f>J48*E48</f>
        <v>0</v>
      </c>
      <c r="M48" s="4">
        <f>G48-L48</f>
        <v>6056</v>
      </c>
      <c r="N48" s="9" t="str">
        <f>IF(M48&gt;0,"KEEP SELLING", "DO NOT SELL")</f>
        <v>KEEP SELLING</v>
      </c>
    </row>
    <row r="49" spans="1:14" ht="18" customHeight="1" x14ac:dyDescent="0.2">
      <c r="A49" s="16" t="s">
        <v>62</v>
      </c>
      <c r="B49" s="16" t="s">
        <v>63</v>
      </c>
      <c r="C49" s="13" t="s">
        <v>21</v>
      </c>
      <c r="D49" s="13" t="s">
        <v>21</v>
      </c>
      <c r="E49" s="2">
        <v>10</v>
      </c>
      <c r="F49" s="14">
        <v>633</v>
      </c>
      <c r="G49" s="2">
        <f>E49*F49</f>
        <v>6330</v>
      </c>
      <c r="H49" s="3"/>
      <c r="I49" s="3"/>
      <c r="J49" s="10">
        <f>H49+I49</f>
        <v>0</v>
      </c>
      <c r="K49" s="3">
        <f>F49-J49</f>
        <v>633</v>
      </c>
      <c r="L49" s="4">
        <f>J49*E49</f>
        <v>0</v>
      </c>
      <c r="M49" s="4">
        <f>G49-L49</f>
        <v>6330</v>
      </c>
      <c r="N49" s="9" t="str">
        <f>IF(M49&gt;0,"KEEP SELLING", "DO NOT SELL")</f>
        <v>KEEP SELLING</v>
      </c>
    </row>
  </sheetData>
  <autoFilter ref="A1:N1" xr:uid="{E531A572-DBCA-4727-9FCC-B7F090A43239}"/>
  <conditionalFormatting sqref="H2:N49 F11:F36">
    <cfRule type="cellIs" dxfId="3" priority="1" operator="lessThan">
      <formula>0</formula>
    </cfRule>
  </conditionalFormatting>
  <conditionalFormatting sqref="N1 N31:N1048576">
    <cfRule type="containsText" dxfId="2" priority="18" operator="containsText" text="KEEP SELLING">
      <formula>NOT(ISERROR(SEARCH("KEEP SELLING",N1)))</formula>
    </cfRule>
  </conditionalFormatting>
  <conditionalFormatting sqref="N1:N1048576">
    <cfRule type="containsText" dxfId="1" priority="13" operator="containsText" text="DO NOT SELL">
      <formula>NOT(ISERROR(SEARCH("DO NOT SELL",N1)))</formula>
    </cfRule>
  </conditionalFormatting>
  <conditionalFormatting sqref="N2:N30">
    <cfRule type="containsText" dxfId="0" priority="6" operator="containsText" text="KEEP SELLING">
      <formula>NOT(ISERROR(SEARCH("KEEP SELLING",N2)))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2026-05-18T21:32:17Z</dcterms:modified>
  <cp:category/>
  <cp:contentStatus/>
</cp:coreProperties>
</file>