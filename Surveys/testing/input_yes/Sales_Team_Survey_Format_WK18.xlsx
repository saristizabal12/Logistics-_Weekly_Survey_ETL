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testing\input_yes\"/>
    </mc:Choice>
  </mc:AlternateContent>
  <xr:revisionPtr revIDLastSave="0" documentId="13_ncr:1_{2F22DA97-85A6-4C51-8945-BC49AE98E7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4" l="1"/>
  <c r="K50" i="14" s="1"/>
  <c r="G50" i="14"/>
  <c r="J49" i="14"/>
  <c r="K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K44" i="14" s="1"/>
  <c r="G44" i="14"/>
  <c r="J43" i="14"/>
  <c r="L43" i="14" s="1"/>
  <c r="G43" i="14"/>
  <c r="J42" i="14"/>
  <c r="L42" i="14" s="1"/>
  <c r="G42" i="14"/>
  <c r="J41" i="14"/>
  <c r="L41" i="14" s="1"/>
  <c r="G41" i="14"/>
  <c r="M41" i="14" s="1"/>
  <c r="N41" i="14" s="1"/>
  <c r="J40" i="14"/>
  <c r="L40" i="14" s="1"/>
  <c r="G40" i="14"/>
  <c r="J39" i="14"/>
  <c r="L39" i="14" s="1"/>
  <c r="G39" i="14"/>
  <c r="J38" i="14"/>
  <c r="K38" i="14" s="1"/>
  <c r="G38" i="14"/>
  <c r="J37" i="14"/>
  <c r="K37" i="14" s="1"/>
  <c r="G37" i="14"/>
  <c r="J36" i="14"/>
  <c r="L36" i="14" s="1"/>
  <c r="G36" i="14"/>
  <c r="J35" i="14"/>
  <c r="K35" i="14" s="1"/>
  <c r="G35" i="14"/>
  <c r="J34" i="14"/>
  <c r="K34" i="14" s="1"/>
  <c r="G34" i="14"/>
  <c r="J33" i="14"/>
  <c r="L33" i="14" s="1"/>
  <c r="G33" i="14"/>
  <c r="J32" i="14"/>
  <c r="L32" i="14" s="1"/>
  <c r="G32" i="14"/>
  <c r="J31" i="14"/>
  <c r="L31" i="14" s="1"/>
  <c r="G31" i="14"/>
  <c r="J30" i="14"/>
  <c r="L30" i="14" s="1"/>
  <c r="G30" i="14"/>
  <c r="J29" i="14"/>
  <c r="K29" i="14" s="1"/>
  <c r="G29" i="14"/>
  <c r="J28" i="14"/>
  <c r="K28" i="14" s="1"/>
  <c r="G28" i="14"/>
  <c r="J27" i="14"/>
  <c r="K27" i="14" s="1"/>
  <c r="G27" i="14"/>
  <c r="J26" i="14"/>
  <c r="K26" i="14" s="1"/>
  <c r="G26" i="14"/>
  <c r="J25" i="14"/>
  <c r="L25" i="14" s="1"/>
  <c r="G25" i="14"/>
  <c r="J24" i="14"/>
  <c r="K24" i="14" s="1"/>
  <c r="G24" i="14"/>
  <c r="J23" i="14"/>
  <c r="L23" i="14" s="1"/>
  <c r="G23" i="14"/>
  <c r="J22" i="14"/>
  <c r="K22" i="14" s="1"/>
  <c r="G22" i="14"/>
  <c r="J21" i="14"/>
  <c r="K21" i="14" s="1"/>
  <c r="G21" i="14"/>
  <c r="P6" i="14" s="1"/>
  <c r="J20" i="14"/>
  <c r="L20" i="14" s="1"/>
  <c r="G20" i="14"/>
  <c r="J19" i="14"/>
  <c r="L19" i="14" s="1"/>
  <c r="G19" i="14"/>
  <c r="J18" i="14"/>
  <c r="L18" i="14" s="1"/>
  <c r="G18" i="14"/>
  <c r="P5" i="14" s="1"/>
  <c r="J17" i="14"/>
  <c r="L17" i="14" s="1"/>
  <c r="G17" i="14"/>
  <c r="J16" i="14"/>
  <c r="L16" i="14" s="1"/>
  <c r="G16" i="14"/>
  <c r="J15" i="14"/>
  <c r="K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K10" i="14" s="1"/>
  <c r="G10" i="14"/>
  <c r="J9" i="14"/>
  <c r="K9" i="14" s="1"/>
  <c r="G9" i="14"/>
  <c r="J8" i="14"/>
  <c r="L8" i="14" s="1"/>
  <c r="G8" i="14"/>
  <c r="J7" i="14"/>
  <c r="K7" i="14" s="1"/>
  <c r="G7" i="14"/>
  <c r="J6" i="14"/>
  <c r="K6" i="14" s="1"/>
  <c r="G6" i="14"/>
  <c r="J5" i="14"/>
  <c r="L5" i="14" s="1"/>
  <c r="G5" i="14"/>
  <c r="M5" i="14" s="1"/>
  <c r="N5" i="14" s="1"/>
  <c r="G4" i="14"/>
  <c r="G3" i="14"/>
  <c r="G2" i="14"/>
  <c r="M12" i="14" l="1"/>
  <c r="N12" i="14" s="1"/>
  <c r="M8" i="14"/>
  <c r="N8" i="14" s="1"/>
  <c r="P2" i="14"/>
  <c r="P4" i="14"/>
  <c r="M16" i="14"/>
  <c r="N16" i="14" s="1"/>
  <c r="M42" i="14"/>
  <c r="N42" i="14" s="1"/>
  <c r="M43" i="14"/>
  <c r="N43" i="14" s="1"/>
  <c r="M46" i="14"/>
  <c r="N46" i="14" s="1"/>
  <c r="M31" i="14"/>
  <c r="N31" i="14" s="1"/>
  <c r="M30" i="14"/>
  <c r="N30" i="14" s="1"/>
  <c r="M25" i="14"/>
  <c r="N25" i="14" s="1"/>
  <c r="M23" i="14"/>
  <c r="N23" i="14" s="1"/>
  <c r="M19" i="14"/>
  <c r="N19" i="14" s="1"/>
  <c r="K19" i="14"/>
  <c r="Q5" i="14"/>
  <c r="U2" i="14" s="1"/>
  <c r="M18" i="14"/>
  <c r="N18" i="14" s="1"/>
  <c r="M17" i="14"/>
  <c r="N17" i="14" s="1"/>
  <c r="K13" i="14"/>
  <c r="M40" i="14"/>
  <c r="N40" i="14" s="1"/>
  <c r="M32" i="14"/>
  <c r="N32" i="14" s="1"/>
  <c r="L49" i="14"/>
  <c r="M49" i="14" s="1"/>
  <c r="N49" i="14" s="1"/>
  <c r="L50" i="14"/>
  <c r="M50" i="14" s="1"/>
  <c r="N50" i="14" s="1"/>
  <c r="L47" i="14"/>
  <c r="M47" i="14" s="1"/>
  <c r="N47" i="14" s="1"/>
  <c r="K46" i="14"/>
  <c r="L48" i="14"/>
  <c r="M48" i="14" s="1"/>
  <c r="N48" i="14" s="1"/>
  <c r="M36" i="14"/>
  <c r="N36" i="14" s="1"/>
  <c r="M33" i="14"/>
  <c r="N33" i="14" s="1"/>
  <c r="M39" i="14"/>
  <c r="N39" i="14" s="1"/>
  <c r="M45" i="14"/>
  <c r="N45" i="14" s="1"/>
  <c r="K36" i="14"/>
  <c r="L26" i="14"/>
  <c r="M26" i="14" s="1"/>
  <c r="N26" i="14" s="1"/>
  <c r="K32" i="14"/>
  <c r="L22" i="14"/>
  <c r="M22" i="14" s="1"/>
  <c r="N22" i="14" s="1"/>
  <c r="L44" i="14"/>
  <c r="M44" i="14" s="1"/>
  <c r="N44" i="14" s="1"/>
  <c r="K42" i="14"/>
  <c r="L24" i="14"/>
  <c r="M24" i="14" s="1"/>
  <c r="N24" i="14" s="1"/>
  <c r="L34" i="14"/>
  <c r="M34" i="14" s="1"/>
  <c r="N34" i="14" s="1"/>
  <c r="K30" i="14"/>
  <c r="L28" i="14"/>
  <c r="M28" i="14" s="1"/>
  <c r="N28" i="14" s="1"/>
  <c r="L38" i="14"/>
  <c r="M38" i="14" s="1"/>
  <c r="N38" i="14" s="1"/>
  <c r="K25" i="14"/>
  <c r="K33" i="14"/>
  <c r="K41" i="14"/>
  <c r="K43" i="14"/>
  <c r="K45" i="14"/>
  <c r="K23" i="14"/>
  <c r="K31" i="14"/>
  <c r="K39" i="14"/>
  <c r="L27" i="14"/>
  <c r="M27" i="14" s="1"/>
  <c r="N27" i="14" s="1"/>
  <c r="L29" i="14"/>
  <c r="M29" i="14" s="1"/>
  <c r="N29" i="14" s="1"/>
  <c r="L35" i="14"/>
  <c r="M35" i="14" s="1"/>
  <c r="N35" i="14" s="1"/>
  <c r="L37" i="14"/>
  <c r="M37" i="14" s="1"/>
  <c r="N37" i="14" s="1"/>
  <c r="K40" i="14"/>
  <c r="L21" i="14"/>
  <c r="M20" i="14"/>
  <c r="N20" i="14" s="1"/>
  <c r="K18" i="14"/>
  <c r="K20" i="14"/>
  <c r="K16" i="14"/>
  <c r="K17" i="14"/>
  <c r="L15" i="14"/>
  <c r="P3" i="14"/>
  <c r="M13" i="14"/>
  <c r="N13" i="14" s="1"/>
  <c r="L14" i="14"/>
  <c r="M14" i="14" s="1"/>
  <c r="N14" i="14" s="1"/>
  <c r="M11" i="14"/>
  <c r="N11" i="14" s="1"/>
  <c r="K5" i="14"/>
  <c r="K11" i="14"/>
  <c r="L7" i="14"/>
  <c r="M7" i="14" s="1"/>
  <c r="N7" i="14" s="1"/>
  <c r="L9" i="14"/>
  <c r="M9" i="14" s="1"/>
  <c r="N9" i="14" s="1"/>
  <c r="K8" i="14"/>
  <c r="K12" i="14"/>
  <c r="L6" i="14"/>
  <c r="M6" i="14" s="1"/>
  <c r="N6" i="14" s="1"/>
  <c r="L10" i="14"/>
  <c r="M10" i="14" s="1"/>
  <c r="N10" i="14" s="1"/>
  <c r="J4" i="14"/>
  <c r="K4" i="14" s="1"/>
  <c r="J3" i="14"/>
  <c r="L3" i="14" s="1"/>
  <c r="J2" i="14"/>
  <c r="K2" i="14" s="1"/>
  <c r="M21" i="14" l="1"/>
  <c r="N21" i="14" s="1"/>
  <c r="Q6" i="14"/>
  <c r="V2" i="14" s="1"/>
  <c r="M15" i="14"/>
  <c r="N15" i="14" s="1"/>
  <c r="Q4" i="14"/>
  <c r="T2" i="14" s="1"/>
  <c r="Q3" i="14"/>
  <c r="S2" i="14" s="1"/>
  <c r="M3" i="14"/>
  <c r="N3" i="14" s="1"/>
  <c r="K3" i="14"/>
  <c r="L4" i="14"/>
  <c r="M4" i="14" s="1"/>
  <c r="N4" i="14" s="1"/>
  <c r="L2" i="14" l="1"/>
  <c r="Q2" i="14" s="1"/>
  <c r="R2" i="14" l="1"/>
  <c r="M2" i="14"/>
  <c r="N2" i="14" s="1"/>
</calcChain>
</file>

<file path=xl/sharedStrings.xml><?xml version="1.0" encoding="utf-8"?>
<sst xmlns="http://schemas.openxmlformats.org/spreadsheetml/2006/main" count="215" uniqueCount="67">
  <si>
    <t>Incentive</t>
  </si>
  <si>
    <t>AS-IS Qty</t>
  </si>
  <si>
    <t>AS-IS Amount</t>
  </si>
  <si>
    <t>Shipping</t>
  </si>
  <si>
    <t>Total</t>
  </si>
  <si>
    <t>Difference</t>
  </si>
  <si>
    <t>Amount difference</t>
  </si>
  <si>
    <t>FINAL</t>
  </si>
  <si>
    <t>A06</t>
  </si>
  <si>
    <t>A16</t>
  </si>
  <si>
    <t>S25</t>
  </si>
  <si>
    <t>S25+</t>
  </si>
  <si>
    <t>Name</t>
  </si>
  <si>
    <t>Quantity</t>
  </si>
  <si>
    <t>Model Friendly Name</t>
  </si>
  <si>
    <t>S25 FE</t>
  </si>
  <si>
    <t>S25 ULTRA</t>
  </si>
  <si>
    <t>Condition TeSM Xt</t>
  </si>
  <si>
    <t>Product TeSM Xt</t>
  </si>
  <si>
    <t>A37</t>
  </si>
  <si>
    <t>A57</t>
  </si>
  <si>
    <t>WATCH8</t>
  </si>
  <si>
    <t>A07</t>
  </si>
  <si>
    <t>A17</t>
  </si>
  <si>
    <t>A11</t>
  </si>
  <si>
    <t>S10 LITE</t>
  </si>
  <si>
    <t>SM X520NLBATPA</t>
  </si>
  <si>
    <t>SM X520NLBETPA</t>
  </si>
  <si>
    <t>SM X520NZAAL15</t>
  </si>
  <si>
    <t>SM X520NZAATPA</t>
  </si>
  <si>
    <t>SM X520NZADL15</t>
  </si>
  <si>
    <t>SM X520NZAETPA</t>
  </si>
  <si>
    <t>SM X520NZSATPA</t>
  </si>
  <si>
    <t>SM X520NZSETPA</t>
  </si>
  <si>
    <t>SM X526BLBATPA</t>
  </si>
  <si>
    <t>SM X526BZAATPA</t>
  </si>
  <si>
    <t>SM X526BZADL15</t>
  </si>
  <si>
    <t>SM X526BZSATPA</t>
  </si>
  <si>
    <t>SM X620NLBATPA</t>
  </si>
  <si>
    <t>SM X620NLBETPA</t>
  </si>
  <si>
    <t>SM X620NZAAL15</t>
  </si>
  <si>
    <t>SM X620NZAATPA</t>
  </si>
  <si>
    <t>SM X620NZAETPA</t>
  </si>
  <si>
    <t>SM X620NZSATPA</t>
  </si>
  <si>
    <t>SM X620NZSETPA</t>
  </si>
  <si>
    <t>SM X626BLBATPA</t>
  </si>
  <si>
    <t>SM X626BZAATPA</t>
  </si>
  <si>
    <t>SM X626BZSATPA</t>
  </si>
  <si>
    <t>WATCH8 CLASSIC</t>
  </si>
  <si>
    <t>BUDS3 FE</t>
  </si>
  <si>
    <t>0418</t>
  </si>
  <si>
    <t>A0S3A0A260000485</t>
  </si>
  <si>
    <t>VITEL W16-W18 Venezuela</t>
  </si>
  <si>
    <t>A26</t>
  </si>
  <si>
    <t>A36</t>
  </si>
  <si>
    <t>A56</t>
  </si>
  <si>
    <t>A0S3A0A260000477</t>
  </si>
  <si>
    <t>VITEL W16-W18 (A07/A17)</t>
  </si>
  <si>
    <t>A0S3A0A260000470</t>
  </si>
  <si>
    <t>VITEL W16-W18 (ECO)</t>
  </si>
  <si>
    <t>A0S3A0A260000522</t>
  </si>
  <si>
    <t>VITEL W16-W18 (A SERIES)</t>
  </si>
  <si>
    <t>0477</t>
  </si>
  <si>
    <t>0470</t>
  </si>
  <si>
    <t>0522</t>
  </si>
  <si>
    <t>A0S3A0A260000490</t>
  </si>
  <si>
    <t>VITEL W16-W18 (AR)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</si>
</sst>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1" fontId="3" fillId="3" borderId="1" xfId="0" applyNumberFormat="1" applyFont="1" applyFill="1" applyBorder="1"/>
    <xf numFmtId="0" fontId="2" fillId="0" borderId="1" xfId="0" applyFont="1" applyBorder="1"/>
    <xf numFmtId="3" fontId="0" fillId="4" borderId="1" xfId="0" applyNumberFormat="1" applyFill="1" applyBorder="1"/>
    <xf numFmtId="0" fontId="2" fillId="7" borderId="1" xfId="0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V50"/>
  <sheetViews>
    <sheetView showGridLines="0" tabSelected="1" zoomScale="85" zoomScaleNormal="85" workbookViewId="0">
      <pane ySplit="1" topLeftCell="A2" activePane="bottomLeft" state="frozen"/>
      <selection pane="bottomLeft" activeCell="F18" sqref="F18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3" width="18.28515625" bestFit="1" customWidth="1"/>
    <col min="4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8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.28515625" bestFit="1" customWidth="1"/>
    <col min="20" max="22" width="10.7109375" bestFit="1" customWidth="1"/>
  </cols>
  <sheetData>
    <row r="1" spans="1:22" ht="18" customHeight="1" x14ac:dyDescent="0.2">
      <c r="A1" s="1" t="s">
        <v>12</v>
      </c>
      <c r="B1" s="1" t="s">
        <v>17</v>
      </c>
      <c r="C1" s="1" t="s">
        <v>14</v>
      </c>
      <c r="D1" s="1" t="s">
        <v>18</v>
      </c>
      <c r="E1" s="1" t="s">
        <v>0</v>
      </c>
      <c r="F1" s="7" t="s">
        <v>1</v>
      </c>
      <c r="G1" s="1" t="s">
        <v>2</v>
      </c>
      <c r="H1" s="7" t="s">
        <v>13</v>
      </c>
      <c r="I1" s="1" t="s">
        <v>3</v>
      </c>
      <c r="J1" s="1" t="s">
        <v>4</v>
      </c>
      <c r="K1" s="1" t="s">
        <v>5</v>
      </c>
      <c r="L1" s="1" t="s">
        <v>2</v>
      </c>
      <c r="M1" s="1" t="s">
        <v>6</v>
      </c>
      <c r="N1" s="5" t="s">
        <v>7</v>
      </c>
      <c r="R1" s="14" t="s">
        <v>50</v>
      </c>
      <c r="S1" s="14" t="s">
        <v>62</v>
      </c>
      <c r="T1" s="14" t="s">
        <v>63</v>
      </c>
      <c r="U1" s="14" t="s">
        <v>64</v>
      </c>
      <c r="V1" s="14" t="s">
        <v>64</v>
      </c>
    </row>
    <row r="2" spans="1:22" ht="18" customHeight="1" x14ac:dyDescent="0.2">
      <c r="A2" s="18" t="s">
        <v>51</v>
      </c>
      <c r="B2" s="18" t="s">
        <v>52</v>
      </c>
      <c r="C2" s="16" t="s">
        <v>8</v>
      </c>
      <c r="D2" s="16" t="s">
        <v>8</v>
      </c>
      <c r="E2" s="2">
        <v>5</v>
      </c>
      <c r="F2" s="17">
        <v>3345</v>
      </c>
      <c r="G2" s="2">
        <f t="shared" ref="G2:G4" si="0">E2*F2</f>
        <v>16725</v>
      </c>
      <c r="H2" s="3"/>
      <c r="I2" s="3"/>
      <c r="J2" s="13">
        <f>H2+I2</f>
        <v>0</v>
      </c>
      <c r="K2" s="3">
        <f>F2-J2</f>
        <v>3345</v>
      </c>
      <c r="L2" s="4">
        <f t="shared" ref="L2" si="1">J2*E2</f>
        <v>0</v>
      </c>
      <c r="M2" s="4">
        <f t="shared" ref="M2" si="2">G2-L2</f>
        <v>16725</v>
      </c>
      <c r="N2" s="12" t="str">
        <f t="shared" ref="N2" si="3">IF(M2&gt;0,"KEEP SELLING", "DO NOT SELL")</f>
        <v>KEEP SELLING</v>
      </c>
      <c r="P2" s="10">
        <f>SUM(G2:G12)</f>
        <v>68514</v>
      </c>
      <c r="Q2" s="9">
        <f>SUM(L2:L12)</f>
        <v>0</v>
      </c>
      <c r="R2" s="11">
        <f>P2-Q2</f>
        <v>68514</v>
      </c>
      <c r="S2" s="11">
        <f>P3-Q3</f>
        <v>56428</v>
      </c>
      <c r="T2" s="11">
        <f>P4-Q4</f>
        <v>38091</v>
      </c>
      <c r="U2" s="11">
        <f>P5-Q5</f>
        <v>80415</v>
      </c>
      <c r="V2" s="11">
        <f>P6-Q6</f>
        <v>44149</v>
      </c>
    </row>
    <row r="3" spans="1:22" ht="18" customHeight="1" x14ac:dyDescent="0.2">
      <c r="A3" s="18" t="s">
        <v>51</v>
      </c>
      <c r="B3" s="18" t="s">
        <v>52</v>
      </c>
      <c r="C3" s="16" t="s">
        <v>9</v>
      </c>
      <c r="D3" s="16" t="s">
        <v>9</v>
      </c>
      <c r="E3" s="2">
        <v>2</v>
      </c>
      <c r="F3" s="17">
        <v>1252</v>
      </c>
      <c r="G3" s="2">
        <f t="shared" si="0"/>
        <v>2504</v>
      </c>
      <c r="H3" s="3"/>
      <c r="I3" s="15"/>
      <c r="J3" s="13">
        <f t="shared" ref="J3:J4" si="4">H3+I3</f>
        <v>0</v>
      </c>
      <c r="K3" s="3">
        <f t="shared" ref="K3:K4" si="5">F3-J3</f>
        <v>1252</v>
      </c>
      <c r="L3" s="4">
        <f t="shared" ref="L3:L4" si="6">J3*E3</f>
        <v>0</v>
      </c>
      <c r="M3" s="4">
        <f t="shared" ref="M3:M4" si="7">G3-L3</f>
        <v>2504</v>
      </c>
      <c r="N3" s="12" t="str">
        <f t="shared" ref="N3:N4" si="8">IF(M3&gt;0,"KEEP SELLING", "DO NOT SELL")</f>
        <v>KEEP SELLING</v>
      </c>
      <c r="P3" s="10">
        <f>SUM(G13:G15)</f>
        <v>56428</v>
      </c>
      <c r="Q3" s="9">
        <f>SUM(L13:L15)</f>
        <v>0</v>
      </c>
    </row>
    <row r="4" spans="1:22" ht="18" customHeight="1" x14ac:dyDescent="0.2">
      <c r="A4" s="18" t="s">
        <v>51</v>
      </c>
      <c r="B4" s="18" t="s">
        <v>52</v>
      </c>
      <c r="C4" s="16" t="s">
        <v>53</v>
      </c>
      <c r="D4" s="16" t="s">
        <v>53</v>
      </c>
      <c r="E4" s="2">
        <v>5</v>
      </c>
      <c r="F4" s="17">
        <v>45</v>
      </c>
      <c r="G4" s="2">
        <f t="shared" si="0"/>
        <v>225</v>
      </c>
      <c r="H4" s="3"/>
      <c r="I4" s="3"/>
      <c r="J4" s="13">
        <f t="shared" si="4"/>
        <v>0</v>
      </c>
      <c r="K4" s="3">
        <f t="shared" si="5"/>
        <v>45</v>
      </c>
      <c r="L4" s="4">
        <f t="shared" si="6"/>
        <v>0</v>
      </c>
      <c r="M4" s="4">
        <f t="shared" si="7"/>
        <v>225</v>
      </c>
      <c r="N4" s="12" t="str">
        <f t="shared" si="8"/>
        <v>KEEP SELLING</v>
      </c>
      <c r="P4" s="10">
        <f>SUM(G15:G17)</f>
        <v>38091</v>
      </c>
      <c r="Q4" s="9">
        <f>SUM(L15:L17)</f>
        <v>0</v>
      </c>
    </row>
    <row r="5" spans="1:22" ht="18" customHeight="1" x14ac:dyDescent="0.2">
      <c r="A5" s="18" t="s">
        <v>51</v>
      </c>
      <c r="B5" s="18" t="s">
        <v>52</v>
      </c>
      <c r="C5" s="16" t="s">
        <v>54</v>
      </c>
      <c r="D5" s="16" t="s">
        <v>54</v>
      </c>
      <c r="E5" s="2">
        <v>5</v>
      </c>
      <c r="F5" s="17">
        <v>274</v>
      </c>
      <c r="G5" s="2">
        <f t="shared" ref="G5:G12" si="9">E5*F5</f>
        <v>1370</v>
      </c>
      <c r="H5" s="3"/>
      <c r="I5" s="3"/>
      <c r="J5" s="13">
        <f t="shared" ref="J5:J12" si="10">H5+I5</f>
        <v>0</v>
      </c>
      <c r="K5" s="3">
        <f t="shared" ref="K5:K12" si="11">F5-J5</f>
        <v>274</v>
      </c>
      <c r="L5" s="4">
        <f t="shared" ref="L5:L12" si="12">J5*E5</f>
        <v>0</v>
      </c>
      <c r="M5" s="4">
        <f t="shared" ref="M5:M12" si="13">G5-L5</f>
        <v>1370</v>
      </c>
      <c r="N5" s="12" t="str">
        <f t="shared" ref="N5:N12" si="14">IF(M5&gt;0,"KEEP SELLING", "DO NOT SELL")</f>
        <v>KEEP SELLING</v>
      </c>
      <c r="P5" s="10">
        <f>SUM(G18:G20)</f>
        <v>80415</v>
      </c>
      <c r="Q5" s="9">
        <f>SUM(L18:L20)</f>
        <v>0</v>
      </c>
    </row>
    <row r="6" spans="1:22" ht="18" customHeight="1" x14ac:dyDescent="0.2">
      <c r="A6" s="18" t="s">
        <v>51</v>
      </c>
      <c r="B6" s="18" t="s">
        <v>52</v>
      </c>
      <c r="C6" s="16" t="s">
        <v>19</v>
      </c>
      <c r="D6" s="16" t="s">
        <v>19</v>
      </c>
      <c r="E6" s="2">
        <v>40</v>
      </c>
      <c r="F6" s="17">
        <v>174</v>
      </c>
      <c r="G6" s="2">
        <f t="shared" si="9"/>
        <v>6960</v>
      </c>
      <c r="H6" s="3"/>
      <c r="I6" s="3"/>
      <c r="J6" s="13">
        <f t="shared" si="10"/>
        <v>0</v>
      </c>
      <c r="K6" s="3">
        <f t="shared" si="11"/>
        <v>174</v>
      </c>
      <c r="L6" s="4">
        <f t="shared" si="12"/>
        <v>0</v>
      </c>
      <c r="M6" s="4">
        <f t="shared" si="13"/>
        <v>6960</v>
      </c>
      <c r="N6" s="12" t="str">
        <f t="shared" si="14"/>
        <v>KEEP SELLING</v>
      </c>
      <c r="P6" s="10">
        <f>SUM(G21:G50)</f>
        <v>44149</v>
      </c>
      <c r="Q6" s="9">
        <f>SUM(L21:L50)</f>
        <v>0</v>
      </c>
    </row>
    <row r="7" spans="1:22" ht="18" customHeight="1" x14ac:dyDescent="0.2">
      <c r="A7" s="18" t="s">
        <v>51</v>
      </c>
      <c r="B7" s="18" t="s">
        <v>52</v>
      </c>
      <c r="C7" s="16" t="s">
        <v>55</v>
      </c>
      <c r="D7" s="16" t="s">
        <v>55</v>
      </c>
      <c r="E7" s="2">
        <v>5</v>
      </c>
      <c r="F7" s="17">
        <v>170</v>
      </c>
      <c r="G7" s="2">
        <f t="shared" si="9"/>
        <v>850</v>
      </c>
      <c r="H7" s="3"/>
      <c r="I7" s="3"/>
      <c r="J7" s="13">
        <f t="shared" si="10"/>
        <v>0</v>
      </c>
      <c r="K7" s="3">
        <f t="shared" si="11"/>
        <v>170</v>
      </c>
      <c r="L7" s="4">
        <f t="shared" si="12"/>
        <v>0</v>
      </c>
      <c r="M7" s="4">
        <f t="shared" si="13"/>
        <v>850</v>
      </c>
      <c r="N7" s="12" t="str">
        <f t="shared" si="14"/>
        <v>KEEP SELLING</v>
      </c>
    </row>
    <row r="8" spans="1:22" ht="18" customHeight="1" x14ac:dyDescent="0.2">
      <c r="A8" s="18" t="s">
        <v>51</v>
      </c>
      <c r="B8" s="18" t="s">
        <v>52</v>
      </c>
      <c r="C8" s="16" t="s">
        <v>20</v>
      </c>
      <c r="D8" s="16" t="s">
        <v>20</v>
      </c>
      <c r="E8" s="2">
        <v>40</v>
      </c>
      <c r="F8" s="17">
        <v>243</v>
      </c>
      <c r="G8" s="2">
        <f t="shared" si="9"/>
        <v>9720</v>
      </c>
      <c r="H8" s="3"/>
      <c r="I8" s="3"/>
      <c r="J8" s="13">
        <f t="shared" si="10"/>
        <v>0</v>
      </c>
      <c r="K8" s="3">
        <f t="shared" si="11"/>
        <v>243</v>
      </c>
      <c r="L8" s="4">
        <f t="shared" si="12"/>
        <v>0</v>
      </c>
      <c r="M8" s="4">
        <f t="shared" si="13"/>
        <v>9720</v>
      </c>
      <c r="N8" s="12" t="str">
        <f t="shared" si="14"/>
        <v>KEEP SELLING</v>
      </c>
    </row>
    <row r="9" spans="1:22" ht="18" customHeight="1" x14ac:dyDescent="0.2">
      <c r="A9" s="18" t="s">
        <v>51</v>
      </c>
      <c r="B9" s="18" t="s">
        <v>52</v>
      </c>
      <c r="C9" s="16" t="s">
        <v>10</v>
      </c>
      <c r="D9" s="16" t="s">
        <v>10</v>
      </c>
      <c r="E9" s="2">
        <v>30</v>
      </c>
      <c r="F9" s="17">
        <v>1</v>
      </c>
      <c r="G9" s="2">
        <f t="shared" si="9"/>
        <v>30</v>
      </c>
      <c r="H9" s="3"/>
      <c r="I9" s="3"/>
      <c r="J9" s="13">
        <f t="shared" si="10"/>
        <v>0</v>
      </c>
      <c r="K9" s="3">
        <f t="shared" si="11"/>
        <v>1</v>
      </c>
      <c r="L9" s="4">
        <f t="shared" si="12"/>
        <v>0</v>
      </c>
      <c r="M9" s="4">
        <f t="shared" si="13"/>
        <v>30</v>
      </c>
      <c r="N9" s="12" t="str">
        <f t="shared" si="14"/>
        <v>KEEP SELLING</v>
      </c>
    </row>
    <row r="10" spans="1:22" ht="18" customHeight="1" x14ac:dyDescent="0.2">
      <c r="A10" s="18" t="s">
        <v>51</v>
      </c>
      <c r="B10" s="18" t="s">
        <v>52</v>
      </c>
      <c r="C10" s="16" t="s">
        <v>11</v>
      </c>
      <c r="D10" s="16" t="s">
        <v>11</v>
      </c>
      <c r="E10" s="2">
        <v>30</v>
      </c>
      <c r="F10" s="17">
        <v>1</v>
      </c>
      <c r="G10" s="2">
        <f t="shared" si="9"/>
        <v>30</v>
      </c>
      <c r="H10" s="3"/>
      <c r="I10" s="3"/>
      <c r="J10" s="13">
        <f t="shared" si="10"/>
        <v>0</v>
      </c>
      <c r="K10" s="3">
        <f t="shared" si="11"/>
        <v>1</v>
      </c>
      <c r="L10" s="4">
        <f t="shared" si="12"/>
        <v>0</v>
      </c>
      <c r="M10" s="4">
        <f t="shared" si="13"/>
        <v>30</v>
      </c>
      <c r="N10" s="12" t="str">
        <f t="shared" si="14"/>
        <v>KEEP SELLING</v>
      </c>
    </row>
    <row r="11" spans="1:22" ht="18" customHeight="1" x14ac:dyDescent="0.2">
      <c r="A11" s="18" t="s">
        <v>51</v>
      </c>
      <c r="B11" s="18" t="s">
        <v>52</v>
      </c>
      <c r="C11" s="16" t="s">
        <v>15</v>
      </c>
      <c r="D11" s="16" t="s">
        <v>15</v>
      </c>
      <c r="E11" s="2">
        <v>30</v>
      </c>
      <c r="F11" s="17">
        <v>180</v>
      </c>
      <c r="G11" s="2">
        <f t="shared" si="9"/>
        <v>5400</v>
      </c>
      <c r="H11" s="3"/>
      <c r="I11" s="3"/>
      <c r="J11" s="13">
        <f t="shared" si="10"/>
        <v>0</v>
      </c>
      <c r="K11" s="3">
        <f t="shared" si="11"/>
        <v>180</v>
      </c>
      <c r="L11" s="4">
        <f t="shared" si="12"/>
        <v>0</v>
      </c>
      <c r="M11" s="4">
        <f t="shared" si="13"/>
        <v>5400</v>
      </c>
      <c r="N11" s="12" t="str">
        <f t="shared" si="14"/>
        <v>KEEP SELLING</v>
      </c>
    </row>
    <row r="12" spans="1:22" ht="18" customHeight="1" x14ac:dyDescent="0.2">
      <c r="A12" s="18" t="s">
        <v>51</v>
      </c>
      <c r="B12" s="18" t="s">
        <v>52</v>
      </c>
      <c r="C12" s="16" t="s">
        <v>16</v>
      </c>
      <c r="D12" s="16" t="s">
        <v>16</v>
      </c>
      <c r="E12" s="2">
        <v>50</v>
      </c>
      <c r="F12" s="17">
        <v>494</v>
      </c>
      <c r="G12" s="2">
        <f t="shared" si="9"/>
        <v>24700</v>
      </c>
      <c r="H12" s="3"/>
      <c r="I12" s="3"/>
      <c r="J12" s="13">
        <f t="shared" si="10"/>
        <v>0</v>
      </c>
      <c r="K12" s="3">
        <f t="shared" si="11"/>
        <v>494</v>
      </c>
      <c r="L12" s="4">
        <f t="shared" si="12"/>
        <v>0</v>
      </c>
      <c r="M12" s="4">
        <f t="shared" si="13"/>
        <v>24700</v>
      </c>
      <c r="N12" s="12" t="str">
        <f t="shared" si="14"/>
        <v>KEEP SELLING</v>
      </c>
    </row>
    <row r="13" spans="1:22" ht="18" customHeight="1" x14ac:dyDescent="0.2">
      <c r="A13" s="18" t="s">
        <v>56</v>
      </c>
      <c r="B13" s="18" t="s">
        <v>57</v>
      </c>
      <c r="C13" s="16" t="s">
        <v>22</v>
      </c>
      <c r="D13" s="16" t="s">
        <v>22</v>
      </c>
      <c r="E13" s="2">
        <v>8</v>
      </c>
      <c r="F13" s="17">
        <v>941</v>
      </c>
      <c r="G13" s="2">
        <f t="shared" ref="G13:G14" si="15">E13*F13</f>
        <v>7528</v>
      </c>
      <c r="H13" s="3"/>
      <c r="I13" s="3"/>
      <c r="J13" s="13">
        <f t="shared" ref="J13:J14" si="16">H13+I13</f>
        <v>0</v>
      </c>
      <c r="K13" s="3">
        <f t="shared" ref="K13:K14" si="17">F13-J13</f>
        <v>941</v>
      </c>
      <c r="L13" s="4">
        <f t="shared" ref="L13:L14" si="18">J13*E13</f>
        <v>0</v>
      </c>
      <c r="M13" s="4">
        <f t="shared" ref="M13:M14" si="19">G13-L13</f>
        <v>7528</v>
      </c>
      <c r="N13" s="12" t="str">
        <f t="shared" ref="N13:N14" si="20">IF(M13&gt;0,"KEEP SELLING", "DO NOT SELL")</f>
        <v>KEEP SELLING</v>
      </c>
    </row>
    <row r="14" spans="1:22" ht="18" customHeight="1" x14ac:dyDescent="0.2">
      <c r="A14" s="18" t="s">
        <v>56</v>
      </c>
      <c r="B14" s="18" t="s">
        <v>57</v>
      </c>
      <c r="C14" s="16" t="s">
        <v>23</v>
      </c>
      <c r="D14" s="16" t="s">
        <v>23</v>
      </c>
      <c r="E14" s="2">
        <v>15</v>
      </c>
      <c r="F14" s="17">
        <v>1550</v>
      </c>
      <c r="G14" s="2">
        <f t="shared" si="15"/>
        <v>23250</v>
      </c>
      <c r="H14" s="3"/>
      <c r="I14" s="3"/>
      <c r="J14" s="13">
        <f t="shared" si="16"/>
        <v>0</v>
      </c>
      <c r="K14" s="3">
        <f t="shared" si="17"/>
        <v>1550</v>
      </c>
      <c r="L14" s="4">
        <f t="shared" si="18"/>
        <v>0</v>
      </c>
      <c r="M14" s="4">
        <f t="shared" si="19"/>
        <v>23250</v>
      </c>
      <c r="N14" s="12" t="str">
        <f t="shared" si="20"/>
        <v>KEEP SELLING</v>
      </c>
    </row>
    <row r="15" spans="1:22" ht="18" customHeight="1" x14ac:dyDescent="0.2">
      <c r="A15" s="18" t="s">
        <v>58</v>
      </c>
      <c r="B15" s="18" t="s">
        <v>59</v>
      </c>
      <c r="C15" s="16" t="s">
        <v>24</v>
      </c>
      <c r="D15" s="16" t="s">
        <v>24</v>
      </c>
      <c r="E15" s="2">
        <v>25</v>
      </c>
      <c r="F15" s="17">
        <v>1026</v>
      </c>
      <c r="G15" s="2">
        <f t="shared" ref="G15:G17" si="21">E15*F15</f>
        <v>25650</v>
      </c>
      <c r="H15" s="3"/>
      <c r="I15" s="3"/>
      <c r="J15" s="13">
        <f t="shared" ref="J15:J17" si="22">H15+I15</f>
        <v>0</v>
      </c>
      <c r="K15" s="3">
        <f t="shared" ref="K15:K17" si="23">F15-J15</f>
        <v>1026</v>
      </c>
      <c r="L15" s="4">
        <f t="shared" ref="L15:L17" si="24">J15*E15</f>
        <v>0</v>
      </c>
      <c r="M15" s="4">
        <f t="shared" ref="M15:M17" si="25">G15-L15</f>
        <v>25650</v>
      </c>
      <c r="N15" s="12" t="str">
        <f t="shared" ref="N15:N17" si="26">IF(M15&gt;0,"KEEP SELLING", "DO NOT SELL")</f>
        <v>KEEP SELLING</v>
      </c>
    </row>
    <row r="16" spans="1:22" ht="18" customHeight="1" x14ac:dyDescent="0.2">
      <c r="A16" s="18" t="s">
        <v>58</v>
      </c>
      <c r="B16" s="18" t="s">
        <v>59</v>
      </c>
      <c r="C16" s="16" t="s">
        <v>21</v>
      </c>
      <c r="D16" s="16" t="s">
        <v>21</v>
      </c>
      <c r="E16" s="2">
        <v>54</v>
      </c>
      <c r="F16" s="17">
        <v>87</v>
      </c>
      <c r="G16" s="2">
        <f t="shared" si="21"/>
        <v>4698</v>
      </c>
      <c r="H16" s="3"/>
      <c r="I16" s="3"/>
      <c r="J16" s="13">
        <f t="shared" si="22"/>
        <v>0</v>
      </c>
      <c r="K16" s="3">
        <f t="shared" si="23"/>
        <v>87</v>
      </c>
      <c r="L16" s="4">
        <f t="shared" si="24"/>
        <v>0</v>
      </c>
      <c r="M16" s="4">
        <f t="shared" si="25"/>
        <v>4698</v>
      </c>
      <c r="N16" s="12" t="str">
        <f t="shared" si="26"/>
        <v>KEEP SELLING</v>
      </c>
    </row>
    <row r="17" spans="1:14" ht="18" customHeight="1" x14ac:dyDescent="0.2">
      <c r="A17" s="18" t="s">
        <v>58</v>
      </c>
      <c r="B17" s="18" t="s">
        <v>59</v>
      </c>
      <c r="C17" s="16" t="s">
        <v>48</v>
      </c>
      <c r="D17" s="16" t="s">
        <v>48</v>
      </c>
      <c r="E17" s="2">
        <v>87</v>
      </c>
      <c r="F17" s="17">
        <v>89</v>
      </c>
      <c r="G17" s="2">
        <f t="shared" si="21"/>
        <v>7743</v>
      </c>
      <c r="H17" s="3"/>
      <c r="I17" s="3"/>
      <c r="J17" s="13">
        <f t="shared" si="22"/>
        <v>0</v>
      </c>
      <c r="K17" s="3">
        <f t="shared" si="23"/>
        <v>89</v>
      </c>
      <c r="L17" s="4">
        <f t="shared" si="24"/>
        <v>0</v>
      </c>
      <c r="M17" s="4">
        <f t="shared" si="25"/>
        <v>7743</v>
      </c>
      <c r="N17" s="12" t="str">
        <f t="shared" si="26"/>
        <v>KEEP SELLING</v>
      </c>
    </row>
    <row r="18" spans="1:14" ht="18" customHeight="1" x14ac:dyDescent="0.2">
      <c r="A18" s="18" t="s">
        <v>60</v>
      </c>
      <c r="B18" s="18" t="s">
        <v>61</v>
      </c>
      <c r="C18" s="16" t="s">
        <v>53</v>
      </c>
      <c r="D18" s="16" t="s">
        <v>53</v>
      </c>
      <c r="E18" s="2">
        <v>50</v>
      </c>
      <c r="F18" s="17">
        <v>400</v>
      </c>
      <c r="G18" s="2">
        <f t="shared" ref="G18:G20" si="27">E18*F18</f>
        <v>20000</v>
      </c>
      <c r="H18" s="3"/>
      <c r="I18" s="3"/>
      <c r="J18" s="13">
        <f t="shared" ref="J18:J20" si="28">H18+I18</f>
        <v>0</v>
      </c>
      <c r="K18" s="3">
        <f t="shared" ref="K18:K20" si="29">F18-J18</f>
        <v>400</v>
      </c>
      <c r="L18" s="4">
        <f t="shared" ref="L18:L20" si="30">J18*E18</f>
        <v>0</v>
      </c>
      <c r="M18" s="4">
        <f t="shared" ref="M18:M20" si="31">G18-L18</f>
        <v>20000</v>
      </c>
      <c r="N18" s="12" t="str">
        <f t="shared" ref="N18:N20" si="32">IF(M18&gt;0,"KEEP SELLING", "DO NOT SELL")</f>
        <v>KEEP SELLING</v>
      </c>
    </row>
    <row r="19" spans="1:14" ht="18" customHeight="1" x14ac:dyDescent="0.2">
      <c r="A19" s="18" t="s">
        <v>60</v>
      </c>
      <c r="B19" s="18" t="s">
        <v>61</v>
      </c>
      <c r="C19" s="16" t="s">
        <v>54</v>
      </c>
      <c r="D19" s="16" t="s">
        <v>54</v>
      </c>
      <c r="E19" s="2">
        <v>55</v>
      </c>
      <c r="F19" s="17">
        <v>553</v>
      </c>
      <c r="G19" s="2">
        <f t="shared" si="27"/>
        <v>30415</v>
      </c>
      <c r="H19" s="3"/>
      <c r="I19" s="3"/>
      <c r="J19" s="13">
        <f t="shared" si="28"/>
        <v>0</v>
      </c>
      <c r="K19" s="3">
        <f t="shared" si="29"/>
        <v>553</v>
      </c>
      <c r="L19" s="4">
        <f t="shared" si="30"/>
        <v>0</v>
      </c>
      <c r="M19" s="4">
        <f t="shared" si="31"/>
        <v>30415</v>
      </c>
      <c r="N19" s="12" t="str">
        <f t="shared" si="32"/>
        <v>KEEP SELLING</v>
      </c>
    </row>
    <row r="20" spans="1:14" ht="18" customHeight="1" x14ac:dyDescent="0.2">
      <c r="A20" s="18" t="s">
        <v>60</v>
      </c>
      <c r="B20" s="18" t="s">
        <v>61</v>
      </c>
      <c r="C20" s="16" t="s">
        <v>55</v>
      </c>
      <c r="D20" s="16" t="s">
        <v>55</v>
      </c>
      <c r="E20" s="2">
        <v>50</v>
      </c>
      <c r="F20" s="17">
        <v>600</v>
      </c>
      <c r="G20" s="2">
        <f t="shared" si="27"/>
        <v>30000</v>
      </c>
      <c r="H20" s="3"/>
      <c r="I20" s="3"/>
      <c r="J20" s="13">
        <f t="shared" si="28"/>
        <v>0</v>
      </c>
      <c r="K20" s="3">
        <f t="shared" si="29"/>
        <v>600</v>
      </c>
      <c r="L20" s="4">
        <f t="shared" si="30"/>
        <v>0</v>
      </c>
      <c r="M20" s="4">
        <f t="shared" si="31"/>
        <v>30000</v>
      </c>
      <c r="N20" s="12" t="str">
        <f t="shared" si="32"/>
        <v>KEEP SELLING</v>
      </c>
    </row>
    <row r="21" spans="1:14" ht="18" customHeight="1" x14ac:dyDescent="0.2">
      <c r="A21" s="18" t="s">
        <v>65</v>
      </c>
      <c r="B21" s="18" t="s">
        <v>66</v>
      </c>
      <c r="C21" s="16" t="s">
        <v>8</v>
      </c>
      <c r="D21" s="16" t="s">
        <v>8</v>
      </c>
      <c r="E21" s="2">
        <v>5</v>
      </c>
      <c r="F21" s="17">
        <v>2091</v>
      </c>
      <c r="G21" s="2">
        <f t="shared" ref="G21" si="33">E21*F21</f>
        <v>10455</v>
      </c>
      <c r="H21" s="3"/>
      <c r="I21" s="3"/>
      <c r="J21" s="13">
        <f t="shared" ref="J21" si="34">H21+I21</f>
        <v>0</v>
      </c>
      <c r="K21" s="3">
        <f t="shared" ref="K21" si="35">F21-J21</f>
        <v>2091</v>
      </c>
      <c r="L21" s="4">
        <f t="shared" ref="L21" si="36">J21*E21</f>
        <v>0</v>
      </c>
      <c r="M21" s="4">
        <f t="shared" ref="M21" si="37">G21-L21</f>
        <v>10455</v>
      </c>
      <c r="N21" s="12" t="str">
        <f t="shared" ref="N21" si="38">IF(M21&gt;0,"KEEP SELLING", "DO NOT SELL")</f>
        <v>KEEP SELLING</v>
      </c>
    </row>
    <row r="22" spans="1:14" ht="18" customHeight="1" x14ac:dyDescent="0.2">
      <c r="A22" s="18" t="s">
        <v>65</v>
      </c>
      <c r="B22" s="18" t="s">
        <v>66</v>
      </c>
      <c r="C22" s="16" t="s">
        <v>9</v>
      </c>
      <c r="D22" s="16" t="s">
        <v>9</v>
      </c>
      <c r="E22" s="2">
        <v>2</v>
      </c>
      <c r="F22" s="17">
        <v>783</v>
      </c>
      <c r="G22" s="2">
        <f t="shared" ref="G22:G45" si="39">E22*F22</f>
        <v>1566</v>
      </c>
      <c r="H22" s="3"/>
      <c r="I22" s="3"/>
      <c r="J22" s="13">
        <f t="shared" ref="J22:J45" si="40">H22+I22</f>
        <v>0</v>
      </c>
      <c r="K22" s="3">
        <f t="shared" ref="K22:K45" si="41">F22-J22</f>
        <v>783</v>
      </c>
      <c r="L22" s="4">
        <f t="shared" ref="L22:L45" si="42">J22*E22</f>
        <v>0</v>
      </c>
      <c r="M22" s="4">
        <f t="shared" ref="M22:M45" si="43">G22-L22</f>
        <v>1566</v>
      </c>
      <c r="N22" s="12" t="str">
        <f t="shared" ref="N22:N45" si="44">IF(M22&gt;0,"KEEP SELLING", "DO NOT SELL")</f>
        <v>KEEP SELLING</v>
      </c>
    </row>
    <row r="23" spans="1:14" ht="18" customHeight="1" x14ac:dyDescent="0.2">
      <c r="A23" s="18" t="s">
        <v>65</v>
      </c>
      <c r="B23" s="18" t="s">
        <v>66</v>
      </c>
      <c r="C23" s="16" t="s">
        <v>19</v>
      </c>
      <c r="D23" s="16" t="s">
        <v>19</v>
      </c>
      <c r="E23" s="2">
        <v>40</v>
      </c>
      <c r="F23" s="17">
        <v>109</v>
      </c>
      <c r="G23" s="2">
        <f t="shared" si="39"/>
        <v>4360</v>
      </c>
      <c r="H23" s="3"/>
      <c r="I23" s="3"/>
      <c r="J23" s="13">
        <f t="shared" si="40"/>
        <v>0</v>
      </c>
      <c r="K23" s="3">
        <f t="shared" si="41"/>
        <v>109</v>
      </c>
      <c r="L23" s="4">
        <f t="shared" si="42"/>
        <v>0</v>
      </c>
      <c r="M23" s="4">
        <f t="shared" si="43"/>
        <v>4360</v>
      </c>
      <c r="N23" s="12" t="str">
        <f t="shared" si="44"/>
        <v>KEEP SELLING</v>
      </c>
    </row>
    <row r="24" spans="1:14" ht="18" customHeight="1" x14ac:dyDescent="0.2">
      <c r="A24" s="18" t="s">
        <v>65</v>
      </c>
      <c r="B24" s="18" t="s">
        <v>66</v>
      </c>
      <c r="C24" s="16" t="s">
        <v>20</v>
      </c>
      <c r="D24" s="16" t="s">
        <v>20</v>
      </c>
      <c r="E24" s="2">
        <v>40</v>
      </c>
      <c r="F24" s="17">
        <v>152</v>
      </c>
      <c r="G24" s="2">
        <f t="shared" si="39"/>
        <v>6080</v>
      </c>
      <c r="H24" s="3"/>
      <c r="I24" s="3"/>
      <c r="J24" s="13">
        <f t="shared" si="40"/>
        <v>0</v>
      </c>
      <c r="K24" s="3">
        <f t="shared" si="41"/>
        <v>152</v>
      </c>
      <c r="L24" s="4">
        <f t="shared" si="42"/>
        <v>0</v>
      </c>
      <c r="M24" s="4">
        <f t="shared" si="43"/>
        <v>6080</v>
      </c>
      <c r="N24" s="12" t="str">
        <f t="shared" si="44"/>
        <v>KEEP SELLING</v>
      </c>
    </row>
    <row r="25" spans="1:14" ht="18" customHeight="1" x14ac:dyDescent="0.2">
      <c r="A25" s="18" t="s">
        <v>65</v>
      </c>
      <c r="B25" s="18" t="s">
        <v>66</v>
      </c>
      <c r="C25" s="16" t="s">
        <v>49</v>
      </c>
      <c r="D25" s="16" t="s">
        <v>49</v>
      </c>
      <c r="E25" s="2">
        <v>4</v>
      </c>
      <c r="F25" s="17">
        <v>2</v>
      </c>
      <c r="G25" s="2">
        <f t="shared" si="39"/>
        <v>8</v>
      </c>
      <c r="H25" s="3"/>
      <c r="I25" s="3"/>
      <c r="J25" s="13">
        <f t="shared" si="40"/>
        <v>0</v>
      </c>
      <c r="K25" s="3">
        <f t="shared" si="41"/>
        <v>2</v>
      </c>
      <c r="L25" s="4">
        <f t="shared" si="42"/>
        <v>0</v>
      </c>
      <c r="M25" s="4">
        <f t="shared" si="43"/>
        <v>8</v>
      </c>
      <c r="N25" s="12" t="str">
        <f t="shared" si="44"/>
        <v>KEEP SELLING</v>
      </c>
    </row>
    <row r="26" spans="1:14" ht="18" customHeight="1" x14ac:dyDescent="0.2">
      <c r="A26" s="18" t="s">
        <v>65</v>
      </c>
      <c r="B26" s="18" t="s">
        <v>66</v>
      </c>
      <c r="C26" s="16" t="s">
        <v>15</v>
      </c>
      <c r="D26" s="16" t="s">
        <v>15</v>
      </c>
      <c r="E26" s="2">
        <v>30</v>
      </c>
      <c r="F26" s="17">
        <v>113</v>
      </c>
      <c r="G26" s="2">
        <f t="shared" si="39"/>
        <v>3390</v>
      </c>
      <c r="H26" s="3"/>
      <c r="I26" s="3"/>
      <c r="J26" s="13">
        <f t="shared" si="40"/>
        <v>0</v>
      </c>
      <c r="K26" s="3">
        <f t="shared" si="41"/>
        <v>113</v>
      </c>
      <c r="L26" s="4">
        <f t="shared" si="42"/>
        <v>0</v>
      </c>
      <c r="M26" s="4">
        <f t="shared" si="43"/>
        <v>3390</v>
      </c>
      <c r="N26" s="12" t="str">
        <f t="shared" si="44"/>
        <v>KEEP SELLING</v>
      </c>
    </row>
    <row r="27" spans="1:14" ht="18" customHeight="1" x14ac:dyDescent="0.2">
      <c r="A27" s="18" t="s">
        <v>65</v>
      </c>
      <c r="B27" s="18" t="s">
        <v>66</v>
      </c>
      <c r="C27" s="16" t="s">
        <v>16</v>
      </c>
      <c r="D27" s="16" t="s">
        <v>16</v>
      </c>
      <c r="E27" s="2">
        <v>50</v>
      </c>
      <c r="F27" s="17">
        <v>309</v>
      </c>
      <c r="G27" s="2">
        <f t="shared" si="39"/>
        <v>15450</v>
      </c>
      <c r="H27" s="3"/>
      <c r="I27" s="3"/>
      <c r="J27" s="13">
        <f t="shared" si="40"/>
        <v>0</v>
      </c>
      <c r="K27" s="3">
        <f t="shared" si="41"/>
        <v>309</v>
      </c>
      <c r="L27" s="4">
        <f t="shared" si="42"/>
        <v>0</v>
      </c>
      <c r="M27" s="4">
        <f t="shared" si="43"/>
        <v>15450</v>
      </c>
      <c r="N27" s="12" t="str">
        <f t="shared" si="44"/>
        <v>KEEP SELLING</v>
      </c>
    </row>
    <row r="28" spans="1:14" ht="18" customHeight="1" x14ac:dyDescent="0.2">
      <c r="A28" s="18" t="s">
        <v>65</v>
      </c>
      <c r="B28" s="18" t="s">
        <v>66</v>
      </c>
      <c r="C28" s="16" t="s">
        <v>25</v>
      </c>
      <c r="D28" s="16" t="s">
        <v>25</v>
      </c>
      <c r="E28" s="2">
        <v>10</v>
      </c>
      <c r="F28" s="17">
        <v>46</v>
      </c>
      <c r="G28" s="2">
        <f t="shared" si="39"/>
        <v>460</v>
      </c>
      <c r="H28" s="3"/>
      <c r="I28" s="3"/>
      <c r="J28" s="13">
        <f t="shared" si="40"/>
        <v>0</v>
      </c>
      <c r="K28" s="3">
        <f t="shared" si="41"/>
        <v>46</v>
      </c>
      <c r="L28" s="4">
        <f t="shared" si="42"/>
        <v>0</v>
      </c>
      <c r="M28" s="4">
        <f t="shared" si="43"/>
        <v>460</v>
      </c>
      <c r="N28" s="12" t="str">
        <f t="shared" si="44"/>
        <v>KEEP SELLING</v>
      </c>
    </row>
    <row r="29" spans="1:14" ht="18" customHeight="1" x14ac:dyDescent="0.2">
      <c r="A29" s="18" t="s">
        <v>65</v>
      </c>
      <c r="B29" s="18" t="s">
        <v>66</v>
      </c>
      <c r="C29" s="16" t="s">
        <v>26</v>
      </c>
      <c r="D29" s="16" t="s">
        <v>26</v>
      </c>
      <c r="E29" s="2">
        <v>10</v>
      </c>
      <c r="F29" s="17">
        <v>2</v>
      </c>
      <c r="G29" s="2">
        <f t="shared" si="39"/>
        <v>20</v>
      </c>
      <c r="H29" s="3"/>
      <c r="I29" s="3"/>
      <c r="J29" s="13">
        <f t="shared" si="40"/>
        <v>0</v>
      </c>
      <c r="K29" s="3">
        <f t="shared" si="41"/>
        <v>2</v>
      </c>
      <c r="L29" s="4">
        <f t="shared" si="42"/>
        <v>0</v>
      </c>
      <c r="M29" s="4">
        <f t="shared" si="43"/>
        <v>20</v>
      </c>
      <c r="N29" s="12" t="str">
        <f t="shared" si="44"/>
        <v>KEEP SELLING</v>
      </c>
    </row>
    <row r="30" spans="1:14" ht="18" customHeight="1" x14ac:dyDescent="0.2">
      <c r="A30" s="18" t="s">
        <v>65</v>
      </c>
      <c r="B30" s="18" t="s">
        <v>66</v>
      </c>
      <c r="C30" s="16" t="s">
        <v>27</v>
      </c>
      <c r="D30" s="16" t="s">
        <v>27</v>
      </c>
      <c r="E30" s="2">
        <v>10</v>
      </c>
      <c r="F30" s="17">
        <v>2</v>
      </c>
      <c r="G30" s="2">
        <f t="shared" si="39"/>
        <v>20</v>
      </c>
      <c r="H30" s="3"/>
      <c r="I30" s="3"/>
      <c r="J30" s="13">
        <f t="shared" si="40"/>
        <v>0</v>
      </c>
      <c r="K30" s="3">
        <f t="shared" si="41"/>
        <v>2</v>
      </c>
      <c r="L30" s="4">
        <f t="shared" si="42"/>
        <v>0</v>
      </c>
      <c r="M30" s="4">
        <f t="shared" si="43"/>
        <v>20</v>
      </c>
      <c r="N30" s="12" t="str">
        <f t="shared" si="44"/>
        <v>KEEP SELLING</v>
      </c>
    </row>
    <row r="31" spans="1:14" ht="18" customHeight="1" x14ac:dyDescent="0.2">
      <c r="A31" s="18" t="s">
        <v>65</v>
      </c>
      <c r="B31" s="18" t="s">
        <v>66</v>
      </c>
      <c r="C31" s="16" t="s">
        <v>28</v>
      </c>
      <c r="D31" s="16" t="s">
        <v>28</v>
      </c>
      <c r="E31" s="2">
        <v>10</v>
      </c>
      <c r="F31" s="17">
        <v>169</v>
      </c>
      <c r="G31" s="2">
        <f t="shared" si="39"/>
        <v>1690</v>
      </c>
      <c r="H31" s="3"/>
      <c r="I31" s="3"/>
      <c r="J31" s="13">
        <f t="shared" si="40"/>
        <v>0</v>
      </c>
      <c r="K31" s="3">
        <f t="shared" si="41"/>
        <v>169</v>
      </c>
      <c r="L31" s="4">
        <f t="shared" si="42"/>
        <v>0</v>
      </c>
      <c r="M31" s="4">
        <f t="shared" si="43"/>
        <v>1690</v>
      </c>
      <c r="N31" s="12" t="str">
        <f t="shared" si="44"/>
        <v>KEEP SELLING</v>
      </c>
    </row>
    <row r="32" spans="1:14" ht="18" customHeight="1" x14ac:dyDescent="0.2">
      <c r="A32" s="18" t="s">
        <v>65</v>
      </c>
      <c r="B32" s="18" t="s">
        <v>66</v>
      </c>
      <c r="C32" s="16" t="s">
        <v>29</v>
      </c>
      <c r="D32" s="16" t="s">
        <v>29</v>
      </c>
      <c r="E32" s="2">
        <v>10</v>
      </c>
      <c r="F32" s="17">
        <v>2</v>
      </c>
      <c r="G32" s="2">
        <f t="shared" si="39"/>
        <v>20</v>
      </c>
      <c r="H32" s="3"/>
      <c r="I32" s="3"/>
      <c r="J32" s="13">
        <f t="shared" si="40"/>
        <v>0</v>
      </c>
      <c r="K32" s="3">
        <f t="shared" si="41"/>
        <v>2</v>
      </c>
      <c r="L32" s="4">
        <f t="shared" si="42"/>
        <v>0</v>
      </c>
      <c r="M32" s="4">
        <f t="shared" si="43"/>
        <v>20</v>
      </c>
      <c r="N32" s="12" t="str">
        <f t="shared" si="44"/>
        <v>KEEP SELLING</v>
      </c>
    </row>
    <row r="33" spans="1:14" ht="18" customHeight="1" x14ac:dyDescent="0.2">
      <c r="A33" s="18" t="s">
        <v>65</v>
      </c>
      <c r="B33" s="18" t="s">
        <v>66</v>
      </c>
      <c r="C33" s="16" t="s">
        <v>30</v>
      </c>
      <c r="D33" s="16" t="s">
        <v>30</v>
      </c>
      <c r="E33" s="2">
        <v>10</v>
      </c>
      <c r="F33" s="17">
        <v>3</v>
      </c>
      <c r="G33" s="2">
        <f t="shared" si="39"/>
        <v>30</v>
      </c>
      <c r="H33" s="3"/>
      <c r="I33" s="3"/>
      <c r="J33" s="13">
        <f t="shared" si="40"/>
        <v>0</v>
      </c>
      <c r="K33" s="3">
        <f t="shared" si="41"/>
        <v>3</v>
      </c>
      <c r="L33" s="4">
        <f t="shared" si="42"/>
        <v>0</v>
      </c>
      <c r="M33" s="4">
        <f t="shared" si="43"/>
        <v>30</v>
      </c>
      <c r="N33" s="12" t="str">
        <f t="shared" si="44"/>
        <v>KEEP SELLING</v>
      </c>
    </row>
    <row r="34" spans="1:14" ht="18" customHeight="1" x14ac:dyDescent="0.2">
      <c r="A34" s="18" t="s">
        <v>65</v>
      </c>
      <c r="B34" s="18" t="s">
        <v>66</v>
      </c>
      <c r="C34" s="16" t="s">
        <v>31</v>
      </c>
      <c r="D34" s="16" t="s">
        <v>31</v>
      </c>
      <c r="E34" s="2">
        <v>10</v>
      </c>
      <c r="F34" s="17">
        <v>2</v>
      </c>
      <c r="G34" s="2">
        <f t="shared" si="39"/>
        <v>20</v>
      </c>
      <c r="H34" s="3"/>
      <c r="I34" s="3"/>
      <c r="J34" s="13">
        <f t="shared" si="40"/>
        <v>0</v>
      </c>
      <c r="K34" s="3">
        <f t="shared" si="41"/>
        <v>2</v>
      </c>
      <c r="L34" s="4">
        <f t="shared" si="42"/>
        <v>0</v>
      </c>
      <c r="M34" s="4">
        <f t="shared" si="43"/>
        <v>20</v>
      </c>
      <c r="N34" s="12" t="str">
        <f t="shared" si="44"/>
        <v>KEEP SELLING</v>
      </c>
    </row>
    <row r="35" spans="1:14" ht="18" customHeight="1" x14ac:dyDescent="0.2">
      <c r="A35" s="18" t="s">
        <v>65</v>
      </c>
      <c r="B35" s="18" t="s">
        <v>66</v>
      </c>
      <c r="C35" s="16" t="s">
        <v>32</v>
      </c>
      <c r="D35" s="16" t="s">
        <v>32</v>
      </c>
      <c r="E35" s="2">
        <v>10</v>
      </c>
      <c r="F35" s="17">
        <v>2</v>
      </c>
      <c r="G35" s="2">
        <f t="shared" si="39"/>
        <v>20</v>
      </c>
      <c r="H35" s="3"/>
      <c r="I35" s="3"/>
      <c r="J35" s="13">
        <f t="shared" si="40"/>
        <v>0</v>
      </c>
      <c r="K35" s="3">
        <f t="shared" si="41"/>
        <v>2</v>
      </c>
      <c r="L35" s="4">
        <f t="shared" si="42"/>
        <v>0</v>
      </c>
      <c r="M35" s="4">
        <f t="shared" si="43"/>
        <v>20</v>
      </c>
      <c r="N35" s="12" t="str">
        <f t="shared" si="44"/>
        <v>KEEP SELLING</v>
      </c>
    </row>
    <row r="36" spans="1:14" ht="18" customHeight="1" x14ac:dyDescent="0.2">
      <c r="A36" s="18" t="s">
        <v>65</v>
      </c>
      <c r="B36" s="18" t="s">
        <v>66</v>
      </c>
      <c r="C36" s="16" t="s">
        <v>33</v>
      </c>
      <c r="D36" s="16" t="s">
        <v>33</v>
      </c>
      <c r="E36" s="2">
        <v>10</v>
      </c>
      <c r="F36" s="17">
        <v>2</v>
      </c>
      <c r="G36" s="2">
        <f t="shared" si="39"/>
        <v>20</v>
      </c>
      <c r="H36" s="3"/>
      <c r="I36" s="3"/>
      <c r="J36" s="13">
        <f t="shared" si="40"/>
        <v>0</v>
      </c>
      <c r="K36" s="3">
        <f t="shared" si="41"/>
        <v>2</v>
      </c>
      <c r="L36" s="4">
        <f t="shared" si="42"/>
        <v>0</v>
      </c>
      <c r="M36" s="4">
        <f t="shared" si="43"/>
        <v>20</v>
      </c>
      <c r="N36" s="12" t="str">
        <f t="shared" si="44"/>
        <v>KEEP SELLING</v>
      </c>
    </row>
    <row r="37" spans="1:14" ht="18" customHeight="1" x14ac:dyDescent="0.2">
      <c r="A37" s="18" t="s">
        <v>65</v>
      </c>
      <c r="B37" s="18" t="s">
        <v>66</v>
      </c>
      <c r="C37" s="16" t="s">
        <v>34</v>
      </c>
      <c r="D37" s="16" t="s">
        <v>34</v>
      </c>
      <c r="E37" s="2">
        <v>10</v>
      </c>
      <c r="F37" s="17">
        <v>2</v>
      </c>
      <c r="G37" s="2">
        <f t="shared" si="39"/>
        <v>20</v>
      </c>
      <c r="H37" s="3"/>
      <c r="I37" s="3"/>
      <c r="J37" s="13">
        <f t="shared" si="40"/>
        <v>0</v>
      </c>
      <c r="K37" s="3">
        <f t="shared" si="41"/>
        <v>2</v>
      </c>
      <c r="L37" s="4">
        <f t="shared" si="42"/>
        <v>0</v>
      </c>
      <c r="M37" s="4">
        <f t="shared" si="43"/>
        <v>20</v>
      </c>
      <c r="N37" s="12" t="str">
        <f t="shared" si="44"/>
        <v>KEEP SELLING</v>
      </c>
    </row>
    <row r="38" spans="1:14" ht="18" customHeight="1" x14ac:dyDescent="0.2">
      <c r="A38" s="18" t="s">
        <v>65</v>
      </c>
      <c r="B38" s="18" t="s">
        <v>66</v>
      </c>
      <c r="C38" s="16" t="s">
        <v>35</v>
      </c>
      <c r="D38" s="16" t="s">
        <v>35</v>
      </c>
      <c r="E38" s="2">
        <v>10</v>
      </c>
      <c r="F38" s="17">
        <v>2</v>
      </c>
      <c r="G38" s="2">
        <f t="shared" si="39"/>
        <v>20</v>
      </c>
      <c r="H38" s="3"/>
      <c r="I38" s="3"/>
      <c r="J38" s="13">
        <f t="shared" si="40"/>
        <v>0</v>
      </c>
      <c r="K38" s="3">
        <f t="shared" si="41"/>
        <v>2</v>
      </c>
      <c r="L38" s="4">
        <f t="shared" si="42"/>
        <v>0</v>
      </c>
      <c r="M38" s="4">
        <f t="shared" si="43"/>
        <v>20</v>
      </c>
      <c r="N38" s="12" t="str">
        <f t="shared" si="44"/>
        <v>KEEP SELLING</v>
      </c>
    </row>
    <row r="39" spans="1:14" ht="18" customHeight="1" x14ac:dyDescent="0.2">
      <c r="A39" s="18" t="s">
        <v>65</v>
      </c>
      <c r="B39" s="18" t="s">
        <v>66</v>
      </c>
      <c r="C39" s="16" t="s">
        <v>36</v>
      </c>
      <c r="D39" s="16" t="s">
        <v>36</v>
      </c>
      <c r="E39" s="2">
        <v>10</v>
      </c>
      <c r="F39" s="17">
        <v>2</v>
      </c>
      <c r="G39" s="2">
        <f t="shared" si="39"/>
        <v>20</v>
      </c>
      <c r="H39" s="3"/>
      <c r="I39" s="3"/>
      <c r="J39" s="13">
        <f t="shared" si="40"/>
        <v>0</v>
      </c>
      <c r="K39" s="3">
        <f t="shared" si="41"/>
        <v>2</v>
      </c>
      <c r="L39" s="4">
        <f t="shared" si="42"/>
        <v>0</v>
      </c>
      <c r="M39" s="4">
        <f t="shared" si="43"/>
        <v>20</v>
      </c>
      <c r="N39" s="12" t="str">
        <f t="shared" si="44"/>
        <v>KEEP SELLING</v>
      </c>
    </row>
    <row r="40" spans="1:14" ht="18" customHeight="1" x14ac:dyDescent="0.2">
      <c r="A40" s="18" t="s">
        <v>65</v>
      </c>
      <c r="B40" s="18" t="s">
        <v>66</v>
      </c>
      <c r="C40" s="16" t="s">
        <v>37</v>
      </c>
      <c r="D40" s="16" t="s">
        <v>37</v>
      </c>
      <c r="E40" s="2">
        <v>10</v>
      </c>
      <c r="F40" s="17">
        <v>2</v>
      </c>
      <c r="G40" s="2">
        <f t="shared" si="39"/>
        <v>20</v>
      </c>
      <c r="H40" s="3"/>
      <c r="I40" s="3"/>
      <c r="J40" s="13">
        <f t="shared" si="40"/>
        <v>0</v>
      </c>
      <c r="K40" s="3">
        <f t="shared" si="41"/>
        <v>2</v>
      </c>
      <c r="L40" s="4">
        <f t="shared" si="42"/>
        <v>0</v>
      </c>
      <c r="M40" s="4">
        <f t="shared" si="43"/>
        <v>20</v>
      </c>
      <c r="N40" s="12" t="str">
        <f t="shared" si="44"/>
        <v>KEEP SELLING</v>
      </c>
    </row>
    <row r="41" spans="1:14" ht="18" customHeight="1" x14ac:dyDescent="0.2">
      <c r="A41" s="18" t="s">
        <v>65</v>
      </c>
      <c r="B41" s="18" t="s">
        <v>66</v>
      </c>
      <c r="C41" s="16" t="s">
        <v>38</v>
      </c>
      <c r="D41" s="16" t="s">
        <v>38</v>
      </c>
      <c r="E41" s="2">
        <v>10</v>
      </c>
      <c r="F41" s="17">
        <v>2</v>
      </c>
      <c r="G41" s="2">
        <f t="shared" si="39"/>
        <v>20</v>
      </c>
      <c r="H41" s="3"/>
      <c r="I41" s="3"/>
      <c r="J41" s="13">
        <f t="shared" si="40"/>
        <v>0</v>
      </c>
      <c r="K41" s="3">
        <f t="shared" si="41"/>
        <v>2</v>
      </c>
      <c r="L41" s="4">
        <f t="shared" si="42"/>
        <v>0</v>
      </c>
      <c r="M41" s="4">
        <f t="shared" si="43"/>
        <v>20</v>
      </c>
      <c r="N41" s="12" t="str">
        <f t="shared" si="44"/>
        <v>KEEP SELLING</v>
      </c>
    </row>
    <row r="42" spans="1:14" ht="18" customHeight="1" x14ac:dyDescent="0.2">
      <c r="A42" s="18" t="s">
        <v>65</v>
      </c>
      <c r="B42" s="18" t="s">
        <v>66</v>
      </c>
      <c r="C42" s="16" t="s">
        <v>39</v>
      </c>
      <c r="D42" s="16" t="s">
        <v>39</v>
      </c>
      <c r="E42" s="2">
        <v>10</v>
      </c>
      <c r="F42" s="17">
        <v>2</v>
      </c>
      <c r="G42" s="2">
        <f t="shared" si="39"/>
        <v>20</v>
      </c>
      <c r="H42" s="3"/>
      <c r="I42" s="3"/>
      <c r="J42" s="13">
        <f t="shared" si="40"/>
        <v>0</v>
      </c>
      <c r="K42" s="3">
        <f t="shared" si="41"/>
        <v>2</v>
      </c>
      <c r="L42" s="4">
        <f t="shared" si="42"/>
        <v>0</v>
      </c>
      <c r="M42" s="4">
        <f t="shared" si="43"/>
        <v>20</v>
      </c>
      <c r="N42" s="12" t="str">
        <f t="shared" si="44"/>
        <v>KEEP SELLING</v>
      </c>
    </row>
    <row r="43" spans="1:14" ht="18" customHeight="1" x14ac:dyDescent="0.2">
      <c r="A43" s="18" t="s">
        <v>65</v>
      </c>
      <c r="B43" s="18" t="s">
        <v>66</v>
      </c>
      <c r="C43" s="16" t="s">
        <v>40</v>
      </c>
      <c r="D43" s="16" t="s">
        <v>40</v>
      </c>
      <c r="E43" s="2">
        <v>10</v>
      </c>
      <c r="F43" s="17">
        <v>21</v>
      </c>
      <c r="G43" s="2">
        <f t="shared" si="39"/>
        <v>210</v>
      </c>
      <c r="H43" s="3"/>
      <c r="I43" s="3"/>
      <c r="J43" s="13">
        <f t="shared" si="40"/>
        <v>0</v>
      </c>
      <c r="K43" s="3">
        <f t="shared" si="41"/>
        <v>21</v>
      </c>
      <c r="L43" s="4">
        <f t="shared" si="42"/>
        <v>0</v>
      </c>
      <c r="M43" s="4">
        <f t="shared" si="43"/>
        <v>210</v>
      </c>
      <c r="N43" s="12" t="str">
        <f t="shared" si="44"/>
        <v>KEEP SELLING</v>
      </c>
    </row>
    <row r="44" spans="1:14" ht="18" customHeight="1" x14ac:dyDescent="0.2">
      <c r="A44" s="18" t="s">
        <v>65</v>
      </c>
      <c r="B44" s="18" t="s">
        <v>66</v>
      </c>
      <c r="C44" s="16" t="s">
        <v>41</v>
      </c>
      <c r="D44" s="16" t="s">
        <v>41</v>
      </c>
      <c r="E44" s="2">
        <v>10</v>
      </c>
      <c r="F44" s="17">
        <v>2</v>
      </c>
      <c r="G44" s="2">
        <f t="shared" si="39"/>
        <v>20</v>
      </c>
      <c r="H44" s="3"/>
      <c r="I44" s="3"/>
      <c r="J44" s="13">
        <f t="shared" si="40"/>
        <v>0</v>
      </c>
      <c r="K44" s="3">
        <f t="shared" si="41"/>
        <v>2</v>
      </c>
      <c r="L44" s="4">
        <f t="shared" si="42"/>
        <v>0</v>
      </c>
      <c r="M44" s="4">
        <f t="shared" si="43"/>
        <v>20</v>
      </c>
      <c r="N44" s="12" t="str">
        <f t="shared" si="44"/>
        <v>KEEP SELLING</v>
      </c>
    </row>
    <row r="45" spans="1:14" ht="18" customHeight="1" x14ac:dyDescent="0.2">
      <c r="A45" s="18" t="s">
        <v>65</v>
      </c>
      <c r="B45" s="18" t="s">
        <v>66</v>
      </c>
      <c r="C45" s="16" t="s">
        <v>42</v>
      </c>
      <c r="D45" s="16" t="s">
        <v>42</v>
      </c>
      <c r="E45" s="2">
        <v>10</v>
      </c>
      <c r="F45" s="17">
        <v>2</v>
      </c>
      <c r="G45" s="2">
        <f t="shared" si="39"/>
        <v>20</v>
      </c>
      <c r="H45" s="3"/>
      <c r="I45" s="3"/>
      <c r="J45" s="13">
        <f t="shared" si="40"/>
        <v>0</v>
      </c>
      <c r="K45" s="3">
        <f t="shared" si="41"/>
        <v>2</v>
      </c>
      <c r="L45" s="4">
        <f t="shared" si="42"/>
        <v>0</v>
      </c>
      <c r="M45" s="4">
        <f t="shared" si="43"/>
        <v>20</v>
      </c>
      <c r="N45" s="12" t="str">
        <f t="shared" si="44"/>
        <v>KEEP SELLING</v>
      </c>
    </row>
    <row r="46" spans="1:14" ht="18" customHeight="1" x14ac:dyDescent="0.2">
      <c r="A46" s="18" t="s">
        <v>65</v>
      </c>
      <c r="B46" s="18" t="s">
        <v>66</v>
      </c>
      <c r="C46" s="16" t="s">
        <v>43</v>
      </c>
      <c r="D46" s="16" t="s">
        <v>43</v>
      </c>
      <c r="E46" s="2">
        <v>10</v>
      </c>
      <c r="F46" s="17">
        <v>2</v>
      </c>
      <c r="G46" s="2">
        <f t="shared" ref="G46:G50" si="45">E46*F46</f>
        <v>20</v>
      </c>
      <c r="H46" s="3"/>
      <c r="I46" s="3"/>
      <c r="J46" s="13">
        <f t="shared" ref="J46:J50" si="46">H46+I46</f>
        <v>0</v>
      </c>
      <c r="K46" s="3">
        <f t="shared" ref="K46:K50" si="47">F46-J46</f>
        <v>2</v>
      </c>
      <c r="L46" s="4">
        <f t="shared" ref="L46:L50" si="48">J46*E46</f>
        <v>0</v>
      </c>
      <c r="M46" s="4">
        <f t="shared" ref="M46:M50" si="49">G46-L46</f>
        <v>20</v>
      </c>
      <c r="N46" s="12" t="str">
        <f t="shared" ref="N46:N50" si="50">IF(M46&gt;0,"KEEP SELLING", "DO NOT SELL")</f>
        <v>KEEP SELLING</v>
      </c>
    </row>
    <row r="47" spans="1:14" ht="18" customHeight="1" x14ac:dyDescent="0.2">
      <c r="A47" s="18" t="s">
        <v>65</v>
      </c>
      <c r="B47" s="18" t="s">
        <v>66</v>
      </c>
      <c r="C47" s="16" t="s">
        <v>44</v>
      </c>
      <c r="D47" s="16" t="s">
        <v>44</v>
      </c>
      <c r="E47" s="2">
        <v>10</v>
      </c>
      <c r="F47" s="17">
        <v>2</v>
      </c>
      <c r="G47" s="2">
        <f t="shared" si="45"/>
        <v>20</v>
      </c>
      <c r="H47" s="3"/>
      <c r="I47" s="3"/>
      <c r="J47" s="13">
        <f t="shared" si="46"/>
        <v>0</v>
      </c>
      <c r="K47" s="3">
        <f t="shared" si="47"/>
        <v>2</v>
      </c>
      <c r="L47" s="4">
        <f t="shared" si="48"/>
        <v>0</v>
      </c>
      <c r="M47" s="4">
        <f t="shared" si="49"/>
        <v>20</v>
      </c>
      <c r="N47" s="12" t="str">
        <f t="shared" si="50"/>
        <v>KEEP SELLING</v>
      </c>
    </row>
    <row r="48" spans="1:14" ht="18" customHeight="1" x14ac:dyDescent="0.2">
      <c r="A48" s="18" t="s">
        <v>65</v>
      </c>
      <c r="B48" s="18" t="s">
        <v>66</v>
      </c>
      <c r="C48" s="16" t="s">
        <v>45</v>
      </c>
      <c r="D48" s="16" t="s">
        <v>45</v>
      </c>
      <c r="E48" s="2">
        <v>10</v>
      </c>
      <c r="F48" s="17">
        <v>2</v>
      </c>
      <c r="G48" s="2">
        <f t="shared" si="45"/>
        <v>20</v>
      </c>
      <c r="H48" s="3"/>
      <c r="I48" s="3"/>
      <c r="J48" s="13">
        <f t="shared" si="46"/>
        <v>0</v>
      </c>
      <c r="K48" s="3">
        <f t="shared" si="47"/>
        <v>2</v>
      </c>
      <c r="L48" s="4">
        <f t="shared" si="48"/>
        <v>0</v>
      </c>
      <c r="M48" s="4">
        <f t="shared" si="49"/>
        <v>20</v>
      </c>
      <c r="N48" s="12" t="str">
        <f t="shared" si="50"/>
        <v>KEEP SELLING</v>
      </c>
    </row>
    <row r="49" spans="1:14" ht="18" customHeight="1" x14ac:dyDescent="0.2">
      <c r="A49" s="18" t="s">
        <v>65</v>
      </c>
      <c r="B49" s="18" t="s">
        <v>66</v>
      </c>
      <c r="C49" s="16" t="s">
        <v>46</v>
      </c>
      <c r="D49" s="16" t="s">
        <v>46</v>
      </c>
      <c r="E49" s="2">
        <v>10</v>
      </c>
      <c r="F49" s="17">
        <v>9</v>
      </c>
      <c r="G49" s="2">
        <f t="shared" si="45"/>
        <v>90</v>
      </c>
      <c r="H49" s="3"/>
      <c r="I49" s="3"/>
      <c r="J49" s="13">
        <f t="shared" si="46"/>
        <v>0</v>
      </c>
      <c r="K49" s="3">
        <f t="shared" si="47"/>
        <v>9</v>
      </c>
      <c r="L49" s="4">
        <f t="shared" si="48"/>
        <v>0</v>
      </c>
      <c r="M49" s="4">
        <f t="shared" si="49"/>
        <v>90</v>
      </c>
      <c r="N49" s="12" t="str">
        <f t="shared" si="50"/>
        <v>KEEP SELLING</v>
      </c>
    </row>
    <row r="50" spans="1:14" ht="18" customHeight="1" x14ac:dyDescent="0.2">
      <c r="A50" s="18" t="s">
        <v>65</v>
      </c>
      <c r="B50" s="18" t="s">
        <v>66</v>
      </c>
      <c r="C50" s="16" t="s">
        <v>47</v>
      </c>
      <c r="D50" s="16" t="s">
        <v>47</v>
      </c>
      <c r="E50" s="2">
        <v>10</v>
      </c>
      <c r="F50" s="17">
        <v>2</v>
      </c>
      <c r="G50" s="2">
        <f t="shared" si="45"/>
        <v>20</v>
      </c>
      <c r="H50" s="3"/>
      <c r="I50" s="3"/>
      <c r="J50" s="13">
        <f t="shared" si="46"/>
        <v>0</v>
      </c>
      <c r="K50" s="3">
        <f t="shared" si="47"/>
        <v>2</v>
      </c>
      <c r="L50" s="4">
        <f t="shared" si="48"/>
        <v>0</v>
      </c>
      <c r="M50" s="4">
        <f t="shared" si="49"/>
        <v>20</v>
      </c>
      <c r="N50" s="12" t="str">
        <f t="shared" si="50"/>
        <v>KEEP SELLING</v>
      </c>
    </row>
  </sheetData>
  <autoFilter ref="A1:N50" xr:uid="{E531A572-DBCA-4727-9FCC-B7F090A43239}"/>
  <conditionalFormatting sqref="H2:N50">
    <cfRule type="cellIs" dxfId="2" priority="1" operator="lessThan">
      <formula>0</formula>
    </cfRule>
  </conditionalFormatting>
  <conditionalFormatting sqref="N1:N1048576">
    <cfRule type="containsText" dxfId="1" priority="22" operator="containsText" text="DO NOT SELL">
      <formula>NOT(ISERROR(SEARCH("DO NOT SELL",N1)))</formula>
    </cfRule>
    <cfRule type="containsText" dxfId="0" priority="2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2026-04-13T21:42:47Z</dcterms:modified>
  <cp:category/>
  <cp:contentStatus/>
</cp:coreProperties>
</file>